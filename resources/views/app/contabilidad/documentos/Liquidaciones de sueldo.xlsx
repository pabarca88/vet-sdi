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laragon\www\dani\LABORATORIO\documentos\"/>
    </mc:Choice>
  </mc:AlternateContent>
  <xr:revisionPtr revIDLastSave="0" documentId="8_{9C7B62AF-8E78-4C26-9949-FC9B60DD393C}" xr6:coauthVersionLast="47" xr6:coauthVersionMax="47" xr10:uidLastSave="{00000000-0000-0000-0000-000000000000}"/>
  <bookViews>
    <workbookView xWindow="3120" yWindow="3120" windowWidth="20235" windowHeight="9360" xr2:uid="{00000000-000D-0000-FFFF-FFFF00000000}"/>
  </bookViews>
  <sheets>
    <sheet name="Hoja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2" i="1" l="1"/>
  <c r="D36" i="1"/>
  <c r="D34" i="1"/>
  <c r="C31" i="1"/>
  <c r="C29" i="1"/>
  <c r="C28" i="1"/>
  <c r="C24" i="1"/>
  <c r="F24" i="1"/>
  <c r="F19" i="1"/>
  <c r="C19" i="1"/>
  <c r="F17" i="1"/>
  <c r="F16" i="1"/>
  <c r="F15" i="1"/>
</calcChain>
</file>

<file path=xl/sharedStrings.xml><?xml version="1.0" encoding="utf-8"?>
<sst xmlns="http://schemas.openxmlformats.org/spreadsheetml/2006/main" count="43" uniqueCount="42">
  <si>
    <t>LIQUIDACIÓN DE SUELDO TRABAJADOR</t>
  </si>
  <si>
    <t>Nombre Trabajador</t>
  </si>
  <si>
    <t xml:space="preserve">Rut </t>
  </si>
  <si>
    <t>Juan Jose Gutierrez Silva</t>
  </si>
  <si>
    <t>6536234-k</t>
  </si>
  <si>
    <t>Mayo</t>
  </si>
  <si>
    <t>Centro Medico alto Bellavista</t>
  </si>
  <si>
    <t>76536234-k</t>
  </si>
  <si>
    <t>las bellotas 45654</t>
  </si>
  <si>
    <t>Coquimbo</t>
  </si>
  <si>
    <t>Nombre Empresa:</t>
  </si>
  <si>
    <t>Dirección:</t>
  </si>
  <si>
    <t>Ciudad:</t>
  </si>
  <si>
    <t>Rut Empresa:</t>
  </si>
  <si>
    <t>Teléfonos:</t>
  </si>
  <si>
    <t>Remuneración mes:</t>
  </si>
  <si>
    <t>HABERES</t>
  </si>
  <si>
    <t>SUELDO BASE</t>
  </si>
  <si>
    <t>GRATIFICACION LEGAL</t>
  </si>
  <si>
    <t>BONOS PRODUCCION</t>
  </si>
  <si>
    <t>AFP</t>
  </si>
  <si>
    <t>SEG. CESANTIA</t>
  </si>
  <si>
    <t>FONASA O ISAPRE</t>
  </si>
  <si>
    <t>Total Imponible</t>
  </si>
  <si>
    <t>DESCUENTOS</t>
  </si>
  <si>
    <t>Asig Familiar</t>
  </si>
  <si>
    <t>Locomoción</t>
  </si>
  <si>
    <t>Colación</t>
  </si>
  <si>
    <t>Cuota prestamo</t>
  </si>
  <si>
    <t>Desc de terceros</t>
  </si>
  <si>
    <t>Otros Descuentos</t>
  </si>
  <si>
    <t>Total Descuentos 1</t>
  </si>
  <si>
    <t>Total Descuentos 2</t>
  </si>
  <si>
    <t>Impuesto único</t>
  </si>
  <si>
    <t>Base Imponible</t>
  </si>
  <si>
    <t>Impuesto a pagar</t>
  </si>
  <si>
    <t>Dcto Previsional</t>
  </si>
  <si>
    <t>Sueldo Liquido</t>
  </si>
  <si>
    <t>Anticipos</t>
  </si>
  <si>
    <t>Liquido a Pagar</t>
  </si>
  <si>
    <t>Firma del Trabajador</t>
  </si>
  <si>
    <t>Fecha de Pago: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</si>
</sst>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&quot;$&quot;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theme="2" tint="-0.74999237037263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2" tint="-0.74999237037263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/>
    <xf numFmtId="0" fontId="3" fillId="0" borderId="0" xfId="0" applyFont="1"/>
    <xf numFmtId="165" fontId="0" fillId="0" borderId="0" xfId="0" applyNumberFormat="1"/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10" fontId="4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left"/>
    </xf>
    <xf numFmtId="9" fontId="4" fillId="0" borderId="0" xfId="0" applyNumberFormat="1" applyFont="1" applyAlignment="1">
      <alignment horizontal="left"/>
    </xf>
    <xf numFmtId="164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/>
    <xf numFmtId="164" fontId="6" fillId="0" borderId="0" xfId="0" applyNumberFormat="1" applyFont="1" applyAlignment="1">
      <alignment horizontal="left"/>
    </xf>
    <xf numFmtId="165" fontId="1" fillId="0" borderId="0" xfId="0" applyNumberFormat="1" applyFont="1" applyAlignment="1">
      <alignment horizontal="left"/>
    </xf>
    <xf numFmtId="0" fontId="7" fillId="0" borderId="0" xfId="0" applyFont="1"/>
    <xf numFmtId="22" fontId="0" fillId="0" borderId="0" xfId="0" applyNumberFormat="1"/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1628775</xdr:colOff>
      <xdr:row>0</xdr:row>
      <xdr:rowOff>76200</xdr:rowOff>
    </xdr:from>
    <xdr:to>
      <xdr:col>2</xdr:col>
      <xdr:colOff>1771650</xdr:colOff>
      <xdr:row>3</xdr:row>
      <xdr:rowOff>142875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6A1B408-1D9E-4991-B5B2-72C1B666DD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0" y="76200"/>
          <a:ext cx="1771650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42"/>
  <sheetViews>
    <sheetView tabSelected="1" topLeftCell="A25" workbookViewId="0">
      <selection activeCell="B28" sqref="B28:B32"/>
    </sheetView>
  </sheetViews>
  <sheetFormatPr baseColWidth="10" defaultColWidth="9.140625" defaultRowHeight="15" x14ac:dyDescent="0.25"/>
  <cols>
    <col min="1" max="1" width="1.28515625" customWidth="1"/>
    <col min="2" max="2" width="20.7109375" customWidth="1"/>
    <col min="3" max="3" width="27.7109375" customWidth="1"/>
    <col min="4" max="4" width="16.140625" customWidth="1"/>
    <col min="5" max="5" width="12.42578125" customWidth="1"/>
    <col min="6" max="6" width="11.85546875" customWidth="1"/>
    <col min="7" max="7" width="17.85546875" customWidth="1"/>
  </cols>
  <sheetData>
    <row r="5" spans="2:8" x14ac:dyDescent="0.25">
      <c r="B5" s="19" t="s">
        <v>0</v>
      </c>
      <c r="C5" s="20"/>
      <c r="D5" s="20"/>
      <c r="E5" s="20"/>
      <c r="F5" s="2"/>
      <c r="G5" s="2"/>
      <c r="H5" s="2"/>
    </row>
    <row r="7" spans="2:8" x14ac:dyDescent="0.25">
      <c r="B7" s="1" t="s">
        <v>10</v>
      </c>
      <c r="C7" t="s">
        <v>6</v>
      </c>
      <c r="D7" s="1" t="s">
        <v>13</v>
      </c>
      <c r="E7" t="s">
        <v>7</v>
      </c>
    </row>
    <row r="8" spans="2:8" x14ac:dyDescent="0.25">
      <c r="B8" s="1" t="s">
        <v>11</v>
      </c>
      <c r="C8" t="s">
        <v>8</v>
      </c>
      <c r="D8" s="1" t="s">
        <v>14</v>
      </c>
      <c r="E8" s="3">
        <v>555445556</v>
      </c>
    </row>
    <row r="9" spans="2:8" x14ac:dyDescent="0.25">
      <c r="B9" s="1" t="s">
        <v>12</v>
      </c>
      <c r="C9" t="s">
        <v>9</v>
      </c>
    </row>
    <row r="11" spans="2:8" x14ac:dyDescent="0.25">
      <c r="B11" s="1" t="s">
        <v>1</v>
      </c>
      <c r="C11" t="s">
        <v>3</v>
      </c>
      <c r="D11" s="1" t="s">
        <v>2</v>
      </c>
      <c r="E11" t="s">
        <v>4</v>
      </c>
    </row>
    <row r="12" spans="2:8" x14ac:dyDescent="0.25">
      <c r="B12" s="1" t="s">
        <v>15</v>
      </c>
      <c r="C12" s="2" t="s">
        <v>5</v>
      </c>
    </row>
    <row r="14" spans="2:8" x14ac:dyDescent="0.25">
      <c r="B14" s="21" t="s">
        <v>16</v>
      </c>
      <c r="C14" s="22"/>
      <c r="D14" s="21" t="s">
        <v>24</v>
      </c>
      <c r="E14" s="23"/>
      <c r="F14" s="23"/>
    </row>
    <row r="15" spans="2:8" x14ac:dyDescent="0.25">
      <c r="B15" s="5" t="s">
        <v>17</v>
      </c>
      <c r="C15" s="12">
        <v>500000</v>
      </c>
      <c r="D15" s="5" t="s">
        <v>20</v>
      </c>
      <c r="E15" s="9">
        <v>0.1144</v>
      </c>
      <c r="F15" s="10">
        <f>C15*E15</f>
        <v>57200</v>
      </c>
    </row>
    <row r="16" spans="2:8" x14ac:dyDescent="0.25">
      <c r="B16" s="5" t="s">
        <v>18</v>
      </c>
      <c r="C16" s="12">
        <v>100000</v>
      </c>
      <c r="D16" s="5" t="s">
        <v>21</v>
      </c>
      <c r="E16" s="9">
        <v>6.0000000000000001E-3</v>
      </c>
      <c r="F16" s="10">
        <f>C15*E16</f>
        <v>3000</v>
      </c>
    </row>
    <row r="17" spans="2:6" x14ac:dyDescent="0.25">
      <c r="B17" s="5" t="s">
        <v>19</v>
      </c>
      <c r="C17" s="12">
        <v>10000</v>
      </c>
      <c r="D17" s="5" t="s">
        <v>22</v>
      </c>
      <c r="E17" s="11">
        <v>7.0000000000000007E-2</v>
      </c>
      <c r="F17" s="12">
        <f>C15*E17</f>
        <v>35000</v>
      </c>
    </row>
    <row r="18" spans="2:6" x14ac:dyDescent="0.25">
      <c r="C18" s="13"/>
      <c r="E18" s="13"/>
      <c r="F18" s="13"/>
    </row>
    <row r="19" spans="2:6" x14ac:dyDescent="0.25">
      <c r="B19" s="5" t="s">
        <v>23</v>
      </c>
      <c r="C19" s="12">
        <f>SUM(C15:C18)</f>
        <v>610000</v>
      </c>
      <c r="D19" s="5" t="s">
        <v>31</v>
      </c>
      <c r="E19" s="13"/>
      <c r="F19" s="10">
        <f>SUM(F15:F18)</f>
        <v>95200</v>
      </c>
    </row>
    <row r="21" spans="2:6" x14ac:dyDescent="0.25">
      <c r="B21" s="14" t="s">
        <v>25</v>
      </c>
      <c r="C21" s="7">
        <v>0</v>
      </c>
      <c r="D21" s="4" t="s">
        <v>28</v>
      </c>
      <c r="F21" s="7">
        <v>25000</v>
      </c>
    </row>
    <row r="22" spans="2:6" x14ac:dyDescent="0.25">
      <c r="B22" s="14" t="s">
        <v>26</v>
      </c>
      <c r="C22" s="7">
        <v>30000</v>
      </c>
      <c r="D22" s="4" t="s">
        <v>29</v>
      </c>
      <c r="F22" s="7"/>
    </row>
    <row r="23" spans="2:6" x14ac:dyDescent="0.25">
      <c r="B23" s="14" t="s">
        <v>27</v>
      </c>
      <c r="C23" s="7">
        <v>25000</v>
      </c>
      <c r="D23" s="4" t="s">
        <v>30</v>
      </c>
      <c r="F23" s="7"/>
    </row>
    <row r="24" spans="2:6" x14ac:dyDescent="0.25">
      <c r="C24" s="15">
        <f>C19+C21+C22+C23</f>
        <v>665000</v>
      </c>
      <c r="D24" s="17" t="s">
        <v>32</v>
      </c>
      <c r="F24" s="16">
        <f>SUM(F19:F23)</f>
        <v>120200</v>
      </c>
    </row>
    <row r="27" spans="2:6" x14ac:dyDescent="0.25">
      <c r="B27" s="22" t="s">
        <v>33</v>
      </c>
      <c r="C27" s="22"/>
    </row>
    <row r="28" spans="2:6" x14ac:dyDescent="0.25">
      <c r="B28" t="s">
        <v>34</v>
      </c>
      <c r="C28" s="7">
        <f>C19</f>
        <v>610000</v>
      </c>
    </row>
    <row r="29" spans="2:6" x14ac:dyDescent="0.25">
      <c r="B29" t="s">
        <v>36</v>
      </c>
      <c r="C29" s="8">
        <f>F19</f>
        <v>95200</v>
      </c>
    </row>
    <row r="31" spans="2:6" x14ac:dyDescent="0.25">
      <c r="B31" t="s">
        <v>34</v>
      </c>
      <c r="C31" s="7">
        <f>C28</f>
        <v>610000</v>
      </c>
    </row>
    <row r="32" spans="2:6" x14ac:dyDescent="0.25">
      <c r="B32" t="s">
        <v>35</v>
      </c>
      <c r="C32" s="3">
        <v>0</v>
      </c>
    </row>
    <row r="34" spans="3:4" x14ac:dyDescent="0.25">
      <c r="C34" s="1" t="s">
        <v>37</v>
      </c>
      <c r="D34" s="6">
        <f>C24-F24</f>
        <v>544800</v>
      </c>
    </row>
    <row r="35" spans="3:4" x14ac:dyDescent="0.25">
      <c r="C35" s="1" t="s">
        <v>38</v>
      </c>
      <c r="D35">
        <v>0</v>
      </c>
    </row>
    <row r="36" spans="3:4" x14ac:dyDescent="0.25">
      <c r="C36" s="1" t="s">
        <v>39</v>
      </c>
      <c r="D36" s="6">
        <f>D34-D35</f>
        <v>544800</v>
      </c>
    </row>
    <row r="39" spans="3:4" x14ac:dyDescent="0.25">
      <c r="C39" s="2" t="s">
        <v>40</v>
      </c>
    </row>
    <row r="42" spans="3:4" x14ac:dyDescent="0.25">
      <c r="C42" s="1" t="s">
        <v>41</v>
      </c>
      <c r="D42" s="18">
        <f ca="1">NOW()</f>
        <v>44547.0309380787</v>
      </c>
    </row>
  </sheetData>
  <mergeCells count="4">
    <mergeCell ref="B5:E5"/>
    <mergeCell ref="B14:C14"/>
    <mergeCell ref="D14:F14"/>
    <mergeCell ref="B27:C2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</dc:creator>
  <cp:lastModifiedBy>Jaime</cp:lastModifiedBy>
  <cp:lastPrinted>2021-12-16T08:24:18Z</cp:lastPrinted>
  <dcterms:created xsi:type="dcterms:W3CDTF">2015-06-05T18:19:34Z</dcterms:created>
  <dcterms:modified xsi:type="dcterms:W3CDTF">2021-12-17T09:55:49Z</dcterms:modified>
</cp:coreProperties>
</file>