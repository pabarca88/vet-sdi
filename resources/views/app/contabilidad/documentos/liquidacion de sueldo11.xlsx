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dani\LABORATORIO\documentos\"/>
    </mc:Choice>
  </mc:AlternateContent>
  <xr:revisionPtr revIDLastSave="0" documentId="8_{5AB02D01-72EE-4F5F-97C9-86421D7F51B0}" xr6:coauthVersionLast="47" xr6:coauthVersionMax="47" xr10:uidLastSave="{00000000-0000-0000-0000-000000000000}"/>
  <bookViews>
    <workbookView xWindow="3465" yWindow="3465" windowWidth="20235" windowHeight="9360" xr2:uid="{F3911F14-5432-4E36-AA16-7020C860DD89}"/>
  </bookViews>
  <sheets>
    <sheet name="Liquidación de Sueldo" sheetId="2" r:id="rId1"/>
    <sheet name="Cálculo de Finiquito" sheetId="1" r:id="rId2"/>
  </sheets>
  <externalReferences>
    <externalReference r:id="rId3"/>
    <externalReference r:id="rId4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4" i="2" l="1"/>
  <c r="E62" i="2"/>
  <c r="F62" i="2" s="1"/>
  <c r="F61" i="2"/>
  <c r="J61" i="2" s="1"/>
  <c r="E61" i="2"/>
  <c r="M60" i="2"/>
  <c r="M64" i="2" s="1"/>
  <c r="H60" i="2"/>
  <c r="H64" i="2" s="1"/>
  <c r="G60" i="2"/>
  <c r="D60" i="2"/>
  <c r="D64" i="2" s="1"/>
  <c r="C60" i="2"/>
  <c r="B60" i="2"/>
  <c r="D19" i="2"/>
  <c r="E60" i="2" s="1"/>
  <c r="D22" i="2" l="1"/>
  <c r="E64" i="2"/>
  <c r="F60" i="2"/>
  <c r="K62" i="2"/>
  <c r="J62" i="2"/>
  <c r="L62" i="2"/>
  <c r="I62" i="2"/>
  <c r="N62" i="2" s="1"/>
  <c r="K61" i="2"/>
  <c r="L61" i="2"/>
  <c r="I61" i="2"/>
  <c r="D29" i="2"/>
  <c r="I18" i="2"/>
  <c r="D34" i="2"/>
  <c r="I19" i="2"/>
  <c r="L60" i="2" s="1"/>
  <c r="N33" i="1"/>
  <c r="N38" i="1" s="1"/>
  <c r="D27" i="1"/>
  <c r="D26" i="1"/>
  <c r="D25" i="1"/>
  <c r="C19" i="1"/>
  <c r="N7" i="1" s="1"/>
  <c r="N12" i="1" s="1"/>
  <c r="N17" i="1" s="1"/>
  <c r="N36" i="1" s="1"/>
  <c r="M17" i="1"/>
  <c r="C11" i="1"/>
  <c r="D23" i="1" s="1"/>
  <c r="N9" i="1"/>
  <c r="D28" i="1" l="1"/>
  <c r="D31" i="1" s="1"/>
  <c r="D37" i="2"/>
  <c r="I20" i="2"/>
  <c r="K60" i="2" s="1"/>
  <c r="K64" i="2" s="1"/>
  <c r="L64" i="2"/>
  <c r="F64" i="2"/>
  <c r="I60" i="2"/>
  <c r="J60" i="2"/>
  <c r="J64" i="2" s="1"/>
  <c r="I22" i="2"/>
  <c r="N61" i="2"/>
  <c r="N10" i="1"/>
  <c r="N20" i="1" s="1"/>
  <c r="D35" i="2" l="1"/>
  <c r="I29" i="2"/>
  <c r="I42" i="2" s="1"/>
  <c r="I44" i="2" s="1"/>
  <c r="N60" i="2"/>
  <c r="N64" i="2" s="1"/>
  <c r="I64" i="2"/>
  <c r="N23" i="1"/>
  <c r="N37" i="1" s="1"/>
  <c r="N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Susana Lupo</author>
  </authors>
  <commentList>
    <comment ref="M23" authorId="0" shapeId="0" xr:uid="{7F0457C3-58A6-4676-90DD-F456B8D77875}">
      <text>
        <r>
          <rPr>
            <b/>
            <sz val="9"/>
            <color indexed="81"/>
            <rFont val="Tahoma"/>
            <family val="2"/>
          </rPr>
          <t>Susana Lupo:</t>
        </r>
        <r>
          <rPr>
            <sz val="9"/>
            <color indexed="81"/>
            <rFont val="Tahoma"/>
            <family val="2"/>
          </rPr>
          <t xml:space="preserve">
TOPE 11 AÑOS</t>
        </r>
      </text>
    </comment>
  </commentList>
</comments>
</file>

<file path=xl/sharedStrings.xml><?xml version="1.0" encoding="utf-8"?>
<sst xmlns="http://schemas.openxmlformats.org/spreadsheetml/2006/main" count="153" uniqueCount="128">
  <si>
    <t>DATOS PARA EL CÁLCULO DE FINIQUITO</t>
  </si>
  <si>
    <t>UF</t>
  </si>
  <si>
    <t>CAUSALES</t>
  </si>
  <si>
    <t>SUELDO BASE</t>
  </si>
  <si>
    <t>159-1 MUTUO ACUERDO DE LAS PARTES</t>
  </si>
  <si>
    <t>GRATIFICACIÓN LEGAL</t>
  </si>
  <si>
    <t>159-2 RENUNCIA VOLUNTARIA DEL TRABAJADOR</t>
  </si>
  <si>
    <t>MOVILIZACIÓN Y COLACIÓN MES COMPLETO</t>
  </si>
  <si>
    <t>159-3 MUERTE DEL TRABAJADOR</t>
  </si>
  <si>
    <t>DATOS PERSONALES TRABAJADOR</t>
  </si>
  <si>
    <t>PROMEDIO VARIABLES 3 MESES ANTERIORES</t>
  </si>
  <si>
    <t>159-4 VENCIMIENTO DEL PLAZO DEL CONTRATO</t>
  </si>
  <si>
    <t>159-5 CONCLUSION DEL TRABAJO QUE DIO ORIGEN AL CONTRATO</t>
  </si>
  <si>
    <t xml:space="preserve">NOMBRE               </t>
  </si>
  <si>
    <t>TOPE 90 UF</t>
  </si>
  <si>
    <t>c/t</t>
  </si>
  <si>
    <t>159-6 CASO FORTUITO O FUERZA MAYOR</t>
  </si>
  <si>
    <t xml:space="preserve">RUT                                  </t>
  </si>
  <si>
    <t>18032645-6</t>
  </si>
  <si>
    <t>PARA INDEMNIZACIÓN</t>
  </si>
  <si>
    <t>s/t</t>
  </si>
  <si>
    <t>160-1 CONDUCTAS INDEBIDAS O DE CARÁCTER GRAVE</t>
  </si>
  <si>
    <t>FECHA INGRESO</t>
  </si>
  <si>
    <t>gratificación legal, locomoción, colación, sueldo base</t>
  </si>
  <si>
    <t>160-2 NEGOCIACIONES QUE EJECUTE EL TRABAJADOR DENTRO DEL GIRO
DEL NEGOCIO Y QUE HUBIEREN SIDO PROHIBIDAS POR ESCRITO EN EL
RESPECTIVO CONTRATO POR EL EMPLEADOR.</t>
  </si>
  <si>
    <t>MOTIVO SALIDA</t>
  </si>
  <si>
    <t>161 NECESIDADES DE LA EMPRESA</t>
  </si>
  <si>
    <t>PARA VACACIONES</t>
  </si>
  <si>
    <t>160-3 NO CONCURRENCIA DEL TRABAJADOR A SUS LABORES</t>
  </si>
  <si>
    <t>sueldo base + promedio 3 ultimos meses</t>
  </si>
  <si>
    <t>160-4 ABANDONO DEL TRABAJO POR PARTE DEL TRABAJADOR</t>
  </si>
  <si>
    <t>160-5 ACTOS O ACCIONES TEMERARIAS</t>
  </si>
  <si>
    <t>160-6 PERJUICIO MATERIAL CAUSADO INTENCIONALMENTE</t>
  </si>
  <si>
    <t>PROMEDIO VARIABLES</t>
  </si>
  <si>
    <t>160-7 INCUMPLIMIENTO GRAVE DEL CONTRATO</t>
  </si>
  <si>
    <t>VACACIONES X días hábiles =&gt; Y días corridos):</t>
  </si>
  <si>
    <t>DÍAS CORRIDOS</t>
  </si>
  <si>
    <t>161- DESAHUCIO ESCRITO DEL EMPLEADOR</t>
  </si>
  <si>
    <t>MES DE AVISO</t>
  </si>
  <si>
    <t>DETALLE DE VACACIONES</t>
  </si>
  <si>
    <t>(último sueldo base + gratificación legal + promedio 3 últimos comisiones y bonos)</t>
  </si>
  <si>
    <t>INGRESO</t>
  </si>
  <si>
    <t>MES POR AÑO TRABAJADO(X=AÑOS TRABAJADOS)</t>
  </si>
  <si>
    <t>SALIDA</t>
  </si>
  <si>
    <t xml:space="preserve"> </t>
  </si>
  <si>
    <t>AÑOS</t>
  </si>
  <si>
    <t>MESES</t>
  </si>
  <si>
    <t>APORTE EMPLEADOR AL SEGURO DE CESANTIA</t>
  </si>
  <si>
    <t>DÍAS</t>
  </si>
  <si>
    <t>(descuento)</t>
  </si>
  <si>
    <t>TOTAL</t>
  </si>
  <si>
    <t>PROGRESIVOS</t>
  </si>
  <si>
    <t>INDEMNIZACIÓN ACORDADA</t>
  </si>
  <si>
    <t>TOMADOS</t>
  </si>
  <si>
    <t>SALDO HABILES</t>
  </si>
  <si>
    <t>REMUNERACION MES EN CURSO</t>
  </si>
  <si>
    <t>SALDO HABI + INHABILES</t>
  </si>
  <si>
    <t>DESCUENTOS</t>
  </si>
  <si>
    <t>VACACIONES</t>
  </si>
  <si>
    <t>INDEMNIZACIÓN</t>
  </si>
  <si>
    <t>MES EN CURSO</t>
  </si>
  <si>
    <t>TOTAL FINIQUITO</t>
  </si>
  <si>
    <t>xxxxxxxxxxx</t>
  </si>
  <si>
    <r>
      <rPr>
        <sz val="18"/>
        <color theme="0"/>
        <rFont val="Arial Black"/>
        <family val="2"/>
      </rPr>
      <t>Ejemplo Básico de una Liquidación de Sueldo y un Libro de Remuneraciones</t>
    </r>
    <r>
      <rPr>
        <sz val="18"/>
        <rFont val="Arial"/>
        <family val="1"/>
      </rPr>
      <t/>
    </r>
  </si>
  <si>
    <t>EMPRESA   :</t>
  </si>
  <si>
    <t>Empresa Ej.</t>
  </si>
  <si>
    <t>R.U.T.    :</t>
  </si>
  <si>
    <t>75.123.XXX-K</t>
  </si>
  <si>
    <t>DIRECCION :</t>
  </si>
  <si>
    <t>Dir. Ejemplo</t>
  </si>
  <si>
    <t>FONO      :</t>
  </si>
  <si>
    <t>22 XXX XXXX</t>
  </si>
  <si>
    <t>LIQUIDACION DE SUELDO</t>
  </si>
  <si>
    <t>TRABAJADOR        :</t>
  </si>
  <si>
    <t>Nombre Funcionario</t>
  </si>
  <si>
    <t>RUT               :</t>
  </si>
  <si>
    <t>15.123.XXX-K</t>
  </si>
  <si>
    <t>MES               :</t>
  </si>
  <si>
    <t>Enero-2018</t>
  </si>
  <si>
    <t>HABERES</t>
  </si>
  <si>
    <t>$</t>
  </si>
  <si>
    <t>AFP</t>
  </si>
  <si>
    <t>Tope Gratificacion Enero 2018</t>
  </si>
  <si>
    <t>GRATIFICACION LEGAL</t>
  </si>
  <si>
    <t>SEG. CESANTIA</t>
  </si>
  <si>
    <t>BONOS PRODUCCION</t>
  </si>
  <si>
    <t>FONASA O ISAPRE</t>
  </si>
  <si>
    <t>TOTAL IMPONIBLE</t>
  </si>
  <si>
    <t>ASIG.FAMILIAR</t>
  </si>
  <si>
    <t>PRESTAMOS CUOTA</t>
  </si>
  <si>
    <t>LOCOMOCION</t>
  </si>
  <si>
    <t>DESCUENTO DE TERCEROS</t>
  </si>
  <si>
    <t>COLACION</t>
  </si>
  <si>
    <t>OTROS DESCUENTOS</t>
  </si>
  <si>
    <t>TOTAL HABER</t>
  </si>
  <si>
    <t>TOTAL DESCUENTOS</t>
  </si>
  <si>
    <t>CALCULO IMPUESTO UNICO</t>
  </si>
  <si>
    <t>RENTA IMPONIBLE</t>
  </si>
  <si>
    <t>DESCTO.PREVISIONAL</t>
  </si>
  <si>
    <t>BASE IMPONIBLE</t>
  </si>
  <si>
    <t>IMPUESTO A PAGAR**</t>
  </si>
  <si>
    <t>SUELDO LIQUIDO</t>
  </si>
  <si>
    <t>ANTICIPOS</t>
  </si>
  <si>
    <t>LIQUIDO A PAGAR</t>
  </si>
  <si>
    <t>________________________</t>
  </si>
  <si>
    <t>RECIBO Y FIRMO CONFORME</t>
  </si>
  <si>
    <t>LIBRO DE REMUNERACIONES</t>
  </si>
  <si>
    <t>Mes de Noviembre 2017</t>
  </si>
  <si>
    <t>Leyes Sociales (Imposiciones)</t>
  </si>
  <si>
    <t>MES</t>
  </si>
  <si>
    <t>Nombre</t>
  </si>
  <si>
    <t>RUT</t>
  </si>
  <si>
    <t>Sueldo Base</t>
  </si>
  <si>
    <t>Gratificación</t>
  </si>
  <si>
    <t>Total Imponible</t>
  </si>
  <si>
    <t>Colación</t>
  </si>
  <si>
    <t>Movilización</t>
  </si>
  <si>
    <t>Total Haberes</t>
  </si>
  <si>
    <t>7% Salud</t>
  </si>
  <si>
    <t>Seguro Cesantía</t>
  </si>
  <si>
    <t>Anticipos</t>
  </si>
  <si>
    <t>Sueldo Liquido</t>
  </si>
  <si>
    <t>NOVIEMBRE</t>
  </si>
  <si>
    <t xml:space="preserve">Nombre EJ </t>
  </si>
  <si>
    <t>11.111.111-0</t>
  </si>
  <si>
    <t>Nombre Ej 2</t>
  </si>
  <si>
    <t>12.111.111-1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</si>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</sst>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&quot;$&quot;\ #,##0;[Red]\-&quot;$&quot;\ #,##0"/>
    <numFmt numFmtId="167" formatCode="#,##0;[Red]\(#,##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8"/>
      <color theme="0"/>
      <name val="Arial Black"/>
      <family val="2"/>
    </font>
    <font>
      <sz val="18"/>
      <name val="Arial"/>
      <family val="1"/>
    </font>
    <font>
      <b/>
      <sz val="9"/>
      <name val="Verdana"/>
      <family val="2"/>
    </font>
    <font>
      <sz val="18"/>
      <color theme="0"/>
      <name val="Arial"/>
      <family val="2"/>
    </font>
    <font>
      <sz val="10"/>
      <name val="Roboto"/>
    </font>
    <font>
      <sz val="11"/>
      <color theme="1"/>
      <name val="Roboto"/>
    </font>
    <font>
      <b/>
      <sz val="10"/>
      <name val="Roboto"/>
    </font>
    <font>
      <b/>
      <sz val="12"/>
      <name val="Roboto"/>
    </font>
    <font>
      <b/>
      <sz val="11"/>
      <color rgb="FF333333"/>
      <name val="Roboto"/>
    </font>
    <font>
      <b/>
      <sz val="9"/>
      <name val="Roboto"/>
    </font>
    <font>
      <sz val="11"/>
      <color rgb="FF006100"/>
      <name val="Roboto"/>
    </font>
    <font>
      <b/>
      <sz val="10"/>
      <color theme="0"/>
      <name val="Roboto"/>
    </font>
    <font>
      <sz val="9"/>
      <name val="Roboto"/>
    </font>
    <font>
      <b/>
      <u/>
      <sz val="10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theme="4" tint="-0.249977111117893"/>
        <bgColor indexed="57"/>
      </patternFill>
    </fill>
    <fill>
      <patternFill patternType="solid">
        <fgColor theme="5" tint="0.39997558519241921"/>
        <bgColor indexed="34"/>
      </patternFill>
    </fill>
    <fill>
      <patternFill patternType="solid">
        <fgColor theme="6" tint="0.39997558519241921"/>
        <bgColor indexed="52"/>
      </patternFill>
    </fill>
    <fill>
      <patternFill patternType="solid">
        <fgColor theme="9" tint="0.39997558519241921"/>
        <bgColor indexed="51"/>
      </patternFill>
    </fill>
    <fill>
      <patternFill patternType="solid">
        <fgColor theme="8" tint="0.39997558519241921"/>
        <bgColor indexed="15"/>
      </patternFill>
    </fill>
    <fill>
      <patternFill patternType="solid">
        <fgColor theme="7" tint="0.39997558519241921"/>
        <bgColor indexed="13"/>
      </patternFill>
    </fill>
    <fill>
      <patternFill patternType="solid">
        <fgColor theme="4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9" fontId="2" fillId="0" borderId="0" xfId="0" applyNumberFormat="1" applyFont="1"/>
    <xf numFmtId="3" fontId="12" fillId="0" borderId="0" xfId="0" applyNumberFormat="1" applyFont="1"/>
    <xf numFmtId="3" fontId="12" fillId="0" borderId="0" xfId="0" applyNumberFormat="1" applyFont="1" applyAlignment="1">
      <alignment horizontal="center"/>
    </xf>
    <xf numFmtId="0" fontId="13" fillId="0" borderId="0" xfId="0" applyFont="1"/>
    <xf numFmtId="3" fontId="14" fillId="0" borderId="0" xfId="0" applyNumberFormat="1" applyFont="1"/>
    <xf numFmtId="3" fontId="15" fillId="0" borderId="0" xfId="0" applyNumberFormat="1" applyFont="1"/>
    <xf numFmtId="3" fontId="14" fillId="0" borderId="20" xfId="0" applyNumberFormat="1" applyFont="1" applyBorder="1"/>
    <xf numFmtId="3" fontId="14" fillId="0" borderId="20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right"/>
    </xf>
    <xf numFmtId="3" fontId="12" fillId="7" borderId="0" xfId="0" applyNumberFormat="1" applyFont="1" applyFill="1"/>
    <xf numFmtId="10" fontId="12" fillId="0" borderId="0" xfId="3" applyNumberFormat="1" applyFont="1" applyFill="1" applyBorder="1" applyAlignment="1" applyProtection="1">
      <alignment horizontal="left"/>
    </xf>
    <xf numFmtId="3" fontId="12" fillId="8" borderId="0" xfId="0" applyNumberFormat="1" applyFont="1" applyFill="1"/>
    <xf numFmtId="3" fontId="12" fillId="9" borderId="0" xfId="0" applyNumberFormat="1" applyFont="1" applyFill="1"/>
    <xf numFmtId="166" fontId="16" fillId="0" borderId="0" xfId="0" applyNumberFormat="1" applyFont="1"/>
    <xf numFmtId="3" fontId="17" fillId="0" borderId="0" xfId="0" applyNumberFormat="1" applyFont="1" applyAlignment="1">
      <alignment wrapText="1"/>
    </xf>
    <xf numFmtId="3" fontId="17" fillId="0" borderId="0" xfId="0" applyNumberFormat="1" applyFont="1" applyAlignment="1">
      <alignment horizontal="center" wrapText="1"/>
    </xf>
    <xf numFmtId="3" fontId="12" fillId="0" borderId="20" xfId="0" applyNumberFormat="1" applyFont="1" applyBorder="1"/>
    <xf numFmtId="3" fontId="12" fillId="0" borderId="20" xfId="0" applyNumberFormat="1" applyFont="1" applyBorder="1" applyAlignment="1">
      <alignment horizontal="right"/>
    </xf>
    <xf numFmtId="3" fontId="12" fillId="0" borderId="20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7" fontId="13" fillId="0" borderId="0" xfId="0" applyNumberFormat="1" applyFont="1"/>
    <xf numFmtId="3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167" fontId="14" fillId="0" borderId="0" xfId="0" applyNumberFormat="1" applyFont="1"/>
    <xf numFmtId="3" fontId="12" fillId="10" borderId="0" xfId="0" applyNumberFormat="1" applyFont="1" applyFill="1"/>
    <xf numFmtId="3" fontId="12" fillId="11" borderId="0" xfId="0" applyNumberFormat="1" applyFont="1" applyFill="1"/>
    <xf numFmtId="3" fontId="13" fillId="0" borderId="0" xfId="0" applyNumberFormat="1" applyFont="1"/>
    <xf numFmtId="3" fontId="12" fillId="0" borderId="21" xfId="0" applyNumberFormat="1" applyFont="1" applyBorder="1"/>
    <xf numFmtId="3" fontId="12" fillId="0" borderId="21" xfId="0" applyNumberFormat="1" applyFont="1" applyBorder="1" applyAlignment="1">
      <alignment horizontal="right"/>
    </xf>
    <xf numFmtId="3" fontId="12" fillId="0" borderId="21" xfId="0" applyNumberFormat="1" applyFont="1" applyBorder="1" applyAlignment="1">
      <alignment horizontal="center"/>
    </xf>
    <xf numFmtId="3" fontId="18" fillId="5" borderId="0" xfId="4" applyNumberFormat="1" applyFont="1"/>
    <xf numFmtId="0" fontId="12" fillId="0" borderId="0" xfId="0" applyFont="1"/>
    <xf numFmtId="3" fontId="17" fillId="0" borderId="3" xfId="0" applyNumberFormat="1" applyFont="1" applyBorder="1" applyAlignment="1">
      <alignment wrapText="1"/>
    </xf>
    <xf numFmtId="3" fontId="17" fillId="0" borderId="3" xfId="0" applyNumberFormat="1" applyFont="1" applyBorder="1" applyAlignment="1">
      <alignment horizontal="center" wrapText="1"/>
    </xf>
    <xf numFmtId="0" fontId="12" fillId="0" borderId="23" xfId="0" applyFont="1" applyBorder="1"/>
    <xf numFmtId="3" fontId="17" fillId="0" borderId="23" xfId="0" applyNumberFormat="1" applyFont="1" applyBorder="1" applyAlignment="1">
      <alignment horizontal="center" wrapText="1"/>
    </xf>
    <xf numFmtId="167" fontId="12" fillId="7" borderId="23" xfId="0" applyNumberFormat="1" applyFont="1" applyFill="1" applyBorder="1"/>
    <xf numFmtId="167" fontId="12" fillId="9" borderId="23" xfId="0" applyNumberFormat="1" applyFont="1" applyFill="1" applyBorder="1"/>
    <xf numFmtId="167" fontId="12" fillId="0" borderId="24" xfId="0" applyNumberFormat="1" applyFont="1" applyBorder="1"/>
    <xf numFmtId="167" fontId="12" fillId="11" borderId="23" xfId="0" applyNumberFormat="1" applyFont="1" applyFill="1" applyBorder="1"/>
    <xf numFmtId="167" fontId="12" fillId="10" borderId="23" xfId="0" applyNumberFormat="1" applyFont="1" applyFill="1" applyBorder="1"/>
    <xf numFmtId="167" fontId="12" fillId="8" borderId="23" xfId="0" applyNumberFormat="1" applyFont="1" applyFill="1" applyBorder="1"/>
    <xf numFmtId="167" fontId="12" fillId="0" borderId="23" xfId="0" applyNumberFormat="1" applyFont="1" applyBorder="1"/>
    <xf numFmtId="0" fontId="12" fillId="0" borderId="24" xfId="0" applyFont="1" applyBorder="1"/>
    <xf numFmtId="3" fontId="17" fillId="0" borderId="24" xfId="0" applyNumberFormat="1" applyFont="1" applyBorder="1" applyAlignment="1">
      <alignment horizontal="center" wrapText="1"/>
    </xf>
    <xf numFmtId="167" fontId="14" fillId="0" borderId="25" xfId="0" applyNumberFormat="1" applyFont="1" applyBorder="1"/>
    <xf numFmtId="0" fontId="20" fillId="0" borderId="0" xfId="0" applyFont="1"/>
    <xf numFmtId="0" fontId="17" fillId="0" borderId="0" xfId="0" applyFont="1"/>
    <xf numFmtId="0" fontId="20" fillId="0" borderId="1" xfId="0" applyFont="1" applyBorder="1"/>
    <xf numFmtId="0" fontId="20" fillId="0" borderId="2" xfId="0" applyFont="1" applyBorder="1"/>
    <xf numFmtId="165" fontId="17" fillId="0" borderId="2" xfId="1" applyNumberFormat="1" applyFont="1" applyBorder="1"/>
    <xf numFmtId="165" fontId="17" fillId="2" borderId="3" xfId="1" applyNumberFormat="1" applyFont="1" applyFill="1" applyBorder="1"/>
    <xf numFmtId="0" fontId="20" fillId="0" borderId="4" xfId="0" applyFont="1" applyBorder="1"/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21" fillId="0" borderId="0" xfId="2" applyFont="1"/>
    <xf numFmtId="0" fontId="20" fillId="0" borderId="8" xfId="0" applyFont="1" applyBorder="1"/>
    <xf numFmtId="165" fontId="20" fillId="0" borderId="0" xfId="1" applyNumberFormat="1" applyFont="1"/>
    <xf numFmtId="14" fontId="20" fillId="0" borderId="0" xfId="0" applyNumberFormat="1" applyFont="1"/>
    <xf numFmtId="165" fontId="17" fillId="0" borderId="0" xfId="1" applyNumberFormat="1" applyFont="1"/>
    <xf numFmtId="0" fontId="17" fillId="0" borderId="3" xfId="0" applyFont="1" applyBorder="1"/>
    <xf numFmtId="14" fontId="20" fillId="0" borderId="3" xfId="0" applyNumberFormat="1" applyFont="1" applyBorder="1" applyAlignment="1">
      <alignment horizontal="left"/>
    </xf>
    <xf numFmtId="0" fontId="20" fillId="0" borderId="3" xfId="0" applyFont="1" applyBorder="1"/>
    <xf numFmtId="0" fontId="13" fillId="0" borderId="10" xfId="0" applyFont="1" applyBorder="1" applyAlignment="1">
      <alignment wrapText="1"/>
    </xf>
    <xf numFmtId="0" fontId="20" fillId="0" borderId="3" xfId="0" applyFont="1" applyBorder="1" applyAlignment="1">
      <alignment horizontal="left" wrapText="1"/>
    </xf>
    <xf numFmtId="43" fontId="20" fillId="0" borderId="0" xfId="1" applyFont="1"/>
    <xf numFmtId="164" fontId="20" fillId="0" borderId="0" xfId="0" applyNumberFormat="1" applyFont="1"/>
    <xf numFmtId="3" fontId="20" fillId="0" borderId="3" xfId="0" applyNumberFormat="1" applyFont="1" applyBorder="1"/>
    <xf numFmtId="17" fontId="20" fillId="0" borderId="3" xfId="0" applyNumberFormat="1" applyFont="1" applyBorder="1"/>
    <xf numFmtId="2" fontId="20" fillId="0" borderId="3" xfId="0" applyNumberFormat="1" applyFont="1" applyBorder="1"/>
    <xf numFmtId="3" fontId="17" fillId="2" borderId="3" xfId="0" applyNumberFormat="1" applyFont="1" applyFill="1" applyBorder="1"/>
    <xf numFmtId="165" fontId="17" fillId="2" borderId="3" xfId="0" applyNumberFormat="1" applyFont="1" applyFill="1" applyBorder="1"/>
    <xf numFmtId="0" fontId="17" fillId="0" borderId="0" xfId="2" applyFont="1"/>
    <xf numFmtId="0" fontId="12" fillId="0" borderId="0" xfId="2" applyFont="1"/>
    <xf numFmtId="0" fontId="12" fillId="0" borderId="8" xfId="2" applyFont="1" applyBorder="1"/>
    <xf numFmtId="165" fontId="17" fillId="0" borderId="0" xfId="0" applyNumberFormat="1" applyFont="1"/>
    <xf numFmtId="0" fontId="17" fillId="0" borderId="3" xfId="2" applyFont="1" applyBorder="1"/>
    <xf numFmtId="14" fontId="20" fillId="2" borderId="3" xfId="0" applyNumberFormat="1" applyFont="1" applyFill="1" applyBorder="1" applyAlignment="1">
      <alignment horizontal="left"/>
    </xf>
    <xf numFmtId="0" fontId="20" fillId="0" borderId="3" xfId="2" applyFont="1" applyBorder="1"/>
    <xf numFmtId="43" fontId="20" fillId="2" borderId="3" xfId="1" applyFont="1" applyFill="1" applyBorder="1" applyAlignment="1">
      <alignment horizontal="left"/>
    </xf>
    <xf numFmtId="165" fontId="17" fillId="3" borderId="3" xfId="0" applyNumberFormat="1" applyFont="1" applyFill="1" applyBorder="1"/>
    <xf numFmtId="0" fontId="12" fillId="0" borderId="3" xfId="2" applyFont="1" applyBorder="1"/>
    <xf numFmtId="0" fontId="20" fillId="2" borderId="3" xfId="2" applyFont="1" applyFill="1" applyBorder="1"/>
    <xf numFmtId="0" fontId="20" fillId="0" borderId="8" xfId="2" applyFont="1" applyBorder="1"/>
    <xf numFmtId="0" fontId="20" fillId="0" borderId="0" xfId="2" applyFont="1"/>
    <xf numFmtId="165" fontId="17" fillId="2" borderId="3" xfId="0" applyNumberFormat="1" applyFont="1" applyFill="1" applyBorder="1" applyAlignment="1">
      <alignment horizontal="center"/>
    </xf>
    <xf numFmtId="43" fontId="20" fillId="2" borderId="3" xfId="1" applyFont="1" applyFill="1" applyBorder="1"/>
    <xf numFmtId="2" fontId="20" fillId="2" borderId="3" xfId="0" applyNumberFormat="1" applyFont="1" applyFill="1" applyBorder="1"/>
    <xf numFmtId="0" fontId="20" fillId="0" borderId="11" xfId="0" applyFont="1" applyBorder="1"/>
    <xf numFmtId="0" fontId="20" fillId="0" borderId="12" xfId="0" applyFont="1" applyBorder="1"/>
    <xf numFmtId="0" fontId="20" fillId="0" borderId="13" xfId="0" applyFont="1" applyBorder="1"/>
    <xf numFmtId="0" fontId="17" fillId="0" borderId="1" xfId="0" applyFont="1" applyBorder="1"/>
    <xf numFmtId="165" fontId="14" fillId="4" borderId="16" xfId="1" applyNumberFormat="1" applyFont="1" applyFill="1" applyBorder="1"/>
    <xf numFmtId="0" fontId="19" fillId="12" borderId="0" xfId="0" applyFont="1" applyFill="1" applyAlignment="1">
      <alignment horizontal="center"/>
    </xf>
    <xf numFmtId="0" fontId="14" fillId="0" borderId="22" xfId="0" applyFont="1" applyBorder="1" applyAlignment="1">
      <alignment horizontal="center"/>
    </xf>
    <xf numFmtId="3" fontId="12" fillId="0" borderId="4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0" borderId="3" xfId="0" applyNumberFormat="1" applyFont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3" fontId="11" fillId="6" borderId="17" xfId="0" applyNumberFormat="1" applyFont="1" applyFill="1" applyBorder="1" applyAlignment="1">
      <alignment horizontal="center" vertical="top" wrapText="1"/>
    </xf>
    <xf numFmtId="3" fontId="11" fillId="6" borderId="18" xfId="0" applyNumberFormat="1" applyFont="1" applyFill="1" applyBorder="1" applyAlignment="1">
      <alignment horizontal="center" vertical="top" wrapText="1"/>
    </xf>
    <xf numFmtId="3" fontId="11" fillId="6" borderId="19" xfId="0" applyNumberFormat="1" applyFont="1" applyFill="1" applyBorder="1" applyAlignment="1">
      <alignment horizontal="center" vertical="top" wrapText="1"/>
    </xf>
    <xf numFmtId="3" fontId="10" fillId="0" borderId="0" xfId="0" applyNumberFormat="1" applyFont="1" applyAlignment="1">
      <alignment horizontal="center" vertical="top" wrapText="1"/>
    </xf>
    <xf numFmtId="3" fontId="14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9" xfId="0" applyFont="1" applyBorder="1" applyAlignment="1">
      <alignment horizontal="left"/>
    </xf>
  </cellXfs>
  <cellStyles count="5">
    <cellStyle name="Bueno" xfId="4" builtinId="26"/>
    <cellStyle name="Millares" xfId="1" builtinId="3"/>
    <cellStyle name="Normal" xfId="0" builtinId="0"/>
    <cellStyle name="Normal 2" xfId="2" xr:uid="{26B90397-02A9-4A58-BA83-6E262FD66986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gonzalezc/Desktop/RESPALDO%20FABIAN%20GONZALEZ/RESPALDO/Control%20contratos%20Nubox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gonzalezc/Desktop/RESPALDO/Control%20contratos%20Nubo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Consulta"/>
      <sheetName val="BAJAS"/>
      <sheetName val="MODIFICACIONES"/>
      <sheetName val="Hoja1"/>
      <sheetName val="PERSONAL_EXTER"/>
    </sheetNames>
    <sheetDataSet>
      <sheetData sheetId="0" refreshError="1">
        <row r="1">
          <cell r="A1" t="str">
            <v>RUT</v>
          </cell>
          <cell r="B1" t="str">
            <v>A. PATERNO</v>
          </cell>
          <cell r="C1" t="str">
            <v>A. MATERNO</v>
          </cell>
          <cell r="D1" t="str">
            <v>NOMBRE</v>
          </cell>
          <cell r="E1" t="str">
            <v>nombre completo</v>
          </cell>
          <cell r="F1" t="str">
            <v>FECHA INGRESO</v>
          </cell>
        </row>
        <row r="2">
          <cell r="A2" t="str">
            <v>16600252-4</v>
          </cell>
          <cell r="B2" t="str">
            <v>ABDALA</v>
          </cell>
          <cell r="C2" t="str">
            <v>MADARIAGA</v>
          </cell>
          <cell r="D2" t="str">
            <v>ISAAC</v>
          </cell>
          <cell r="E2" t="str">
            <v>ISAAC ABDALA MADARIAGA</v>
          </cell>
          <cell r="F2">
            <v>42736</v>
          </cell>
        </row>
        <row r="3">
          <cell r="A3" t="str">
            <v>18301097-2</v>
          </cell>
          <cell r="B3" t="str">
            <v>ACUÑA</v>
          </cell>
          <cell r="C3" t="str">
            <v>VALLADARES</v>
          </cell>
          <cell r="D3" t="str">
            <v>RODRIGO</v>
          </cell>
          <cell r="E3" t="str">
            <v>RODRIGO ACUÑA VALLADARES</v>
          </cell>
          <cell r="F3">
            <v>43087</v>
          </cell>
        </row>
        <row r="4">
          <cell r="A4" t="str">
            <v>13472442-0</v>
          </cell>
          <cell r="B4" t="str">
            <v>AGUILAR</v>
          </cell>
          <cell r="C4" t="str">
            <v>AGUILAR</v>
          </cell>
          <cell r="D4" t="str">
            <v>ISABEL VERONICA</v>
          </cell>
          <cell r="E4" t="str">
            <v>ISABEL VERONICA AGUILAR AGUILAR</v>
          </cell>
          <cell r="F4">
            <v>43617</v>
          </cell>
        </row>
        <row r="5">
          <cell r="A5" t="str">
            <v>18365202-8</v>
          </cell>
          <cell r="B5" t="str">
            <v>AGUILERA</v>
          </cell>
          <cell r="C5" t="str">
            <v>ARAYA</v>
          </cell>
          <cell r="D5" t="str">
            <v>FELIPE</v>
          </cell>
          <cell r="E5" t="str">
            <v>FELIPE AGUILERA ARAYA</v>
          </cell>
          <cell r="F5">
            <v>42633</v>
          </cell>
        </row>
        <row r="6">
          <cell r="A6" t="str">
            <v>16169621-8</v>
          </cell>
          <cell r="B6" t="str">
            <v>AGUILERA</v>
          </cell>
          <cell r="C6" t="str">
            <v>MIRANDA</v>
          </cell>
          <cell r="D6" t="str">
            <v>DANA</v>
          </cell>
          <cell r="E6" t="str">
            <v>DANA AGUILERA MIRANDA</v>
          </cell>
          <cell r="F6">
            <v>43262</v>
          </cell>
        </row>
        <row r="7">
          <cell r="A7" t="str">
            <v>14125550-9</v>
          </cell>
          <cell r="B7" t="str">
            <v>AGUILERA</v>
          </cell>
          <cell r="C7" t="str">
            <v>NAVARRO</v>
          </cell>
          <cell r="D7" t="str">
            <v>MARIA JOSÉ</v>
          </cell>
          <cell r="E7" t="str">
            <v>MARIA JOSÉ AGUILERA NAVARRO</v>
          </cell>
          <cell r="F7">
            <v>43160</v>
          </cell>
        </row>
        <row r="8">
          <cell r="A8" t="str">
            <v>17253827-4</v>
          </cell>
          <cell r="B8" t="str">
            <v>AHUMADA</v>
          </cell>
          <cell r="C8" t="str">
            <v>CANALES</v>
          </cell>
          <cell r="D8" t="str">
            <v>BASTIAN</v>
          </cell>
          <cell r="E8" t="str">
            <v>BASTIAN AHUMADA CANALES</v>
          </cell>
          <cell r="F8">
            <v>43191</v>
          </cell>
        </row>
        <row r="9">
          <cell r="A9" t="str">
            <v>19117585-9</v>
          </cell>
          <cell r="B9" t="str">
            <v>ALBORNOZ</v>
          </cell>
          <cell r="C9" t="str">
            <v>GOMEZ</v>
          </cell>
          <cell r="D9" t="str">
            <v>NADIA</v>
          </cell>
          <cell r="E9" t="str">
            <v>NADIA ALBORNOZ GOMEZ</v>
          </cell>
          <cell r="F9">
            <v>41925</v>
          </cell>
        </row>
        <row r="10">
          <cell r="A10" t="str">
            <v>26277851-7</v>
          </cell>
          <cell r="B10" t="str">
            <v>ALEMAN</v>
          </cell>
          <cell r="C10" t="str">
            <v>FRAGA</v>
          </cell>
          <cell r="D10" t="str">
            <v>FREDDY JAVIER</v>
          </cell>
          <cell r="E10" t="str">
            <v>FREDDY JAVIER ALEMAN FRAGA</v>
          </cell>
          <cell r="F10">
            <v>43787</v>
          </cell>
        </row>
        <row r="11">
          <cell r="A11" t="str">
            <v>19133285-7</v>
          </cell>
          <cell r="B11" t="str">
            <v>ALVAREZ</v>
          </cell>
          <cell r="C11" t="str">
            <v>GARCIA</v>
          </cell>
          <cell r="D11" t="str">
            <v>FLORENCIA</v>
          </cell>
          <cell r="E11" t="str">
            <v>FLORENCIA ALVAREZ GARCIA</v>
          </cell>
          <cell r="F11">
            <v>43191</v>
          </cell>
        </row>
        <row r="12">
          <cell r="A12" t="str">
            <v>15478788-7</v>
          </cell>
          <cell r="B12" t="str">
            <v>AMARO</v>
          </cell>
          <cell r="C12" t="str">
            <v>ESPINOZA</v>
          </cell>
          <cell r="D12" t="str">
            <v>SEBASTIAN</v>
          </cell>
          <cell r="E12" t="str">
            <v>SEBASTIAN AMARO ESPINOZA</v>
          </cell>
          <cell r="F12">
            <v>42656</v>
          </cell>
        </row>
        <row r="13">
          <cell r="A13" t="str">
            <v>16357418-7</v>
          </cell>
          <cell r="B13" t="str">
            <v>ANTERO</v>
          </cell>
          <cell r="C13" t="str">
            <v>OLIVARES</v>
          </cell>
          <cell r="D13" t="str">
            <v>GUSTAVO ADOLFO</v>
          </cell>
          <cell r="E13" t="str">
            <v>GUSTAVO ADOLFO ANTERO OLIVARES</v>
          </cell>
          <cell r="F13">
            <v>43549</v>
          </cell>
        </row>
        <row r="14">
          <cell r="A14" t="str">
            <v>17366074-k</v>
          </cell>
          <cell r="B14" t="str">
            <v>ARANCIBIA</v>
          </cell>
          <cell r="C14" t="str">
            <v>VEGA</v>
          </cell>
          <cell r="D14" t="str">
            <v>ALEJANDRO ALBERTO</v>
          </cell>
          <cell r="E14" t="str">
            <v>ALEJANDRO ALBERTO ARANCIBIA VEGA</v>
          </cell>
          <cell r="F14">
            <v>43514</v>
          </cell>
        </row>
        <row r="15">
          <cell r="A15" t="str">
            <v>16596596-5</v>
          </cell>
          <cell r="B15" t="str">
            <v>ARANEDA</v>
          </cell>
          <cell r="C15" t="str">
            <v>LÓPEZ</v>
          </cell>
          <cell r="D15" t="str">
            <v>BORIS</v>
          </cell>
          <cell r="E15" t="str">
            <v>BORIS ARANEDA LÓPEZ</v>
          </cell>
          <cell r="F15">
            <v>41498</v>
          </cell>
        </row>
        <row r="16">
          <cell r="A16" t="str">
            <v>17671021-7</v>
          </cell>
          <cell r="B16" t="str">
            <v>ARAUS</v>
          </cell>
          <cell r="C16" t="str">
            <v>GAUTHIER</v>
          </cell>
          <cell r="D16" t="str">
            <v>NICOLAS</v>
          </cell>
          <cell r="E16" t="str">
            <v>NICOLAS ARAUS GAUTHIER</v>
          </cell>
          <cell r="F16">
            <v>43101</v>
          </cell>
        </row>
        <row r="17">
          <cell r="A17" t="str">
            <v>17785303-8</v>
          </cell>
          <cell r="B17" t="str">
            <v>ARAYA</v>
          </cell>
          <cell r="C17" t="str">
            <v>GANA</v>
          </cell>
          <cell r="D17" t="str">
            <v>MARITZA CATALINA</v>
          </cell>
          <cell r="E17" t="str">
            <v>MARITZA CATALINA ARAYA GANA</v>
          </cell>
          <cell r="F17">
            <v>43586</v>
          </cell>
        </row>
        <row r="18">
          <cell r="A18" t="str">
            <v>16910156-6</v>
          </cell>
          <cell r="B18" t="str">
            <v>ARAYA</v>
          </cell>
          <cell r="C18" t="str">
            <v>QUIJADA</v>
          </cell>
          <cell r="D18" t="str">
            <v>EDUARDO</v>
          </cell>
          <cell r="E18" t="str">
            <v>EDUARDO ARAYA QUIJADA</v>
          </cell>
          <cell r="F18">
            <v>42905</v>
          </cell>
        </row>
        <row r="19">
          <cell r="A19" t="str">
            <v>14003646-3</v>
          </cell>
          <cell r="B19" t="str">
            <v>ARENAS</v>
          </cell>
          <cell r="C19" t="str">
            <v>MARTINEZ</v>
          </cell>
          <cell r="D19" t="str">
            <v>MARCIA</v>
          </cell>
          <cell r="E19" t="str">
            <v>MARCIA ARENAS MARTINEZ</v>
          </cell>
          <cell r="F19">
            <v>43052</v>
          </cell>
        </row>
        <row r="20">
          <cell r="A20" t="str">
            <v>14759505-0</v>
          </cell>
          <cell r="B20" t="str">
            <v>ARGUELLO</v>
          </cell>
          <cell r="C20" t="str">
            <v>PALACIOS</v>
          </cell>
          <cell r="D20" t="str">
            <v>MARIA JOSÉ</v>
          </cell>
          <cell r="E20" t="str">
            <v>MARIA JOSÉ ARGUELLO PALACIOS</v>
          </cell>
          <cell r="F20">
            <v>43325</v>
          </cell>
        </row>
        <row r="21">
          <cell r="A21" t="str">
            <v>17175478-K</v>
          </cell>
          <cell r="B21" t="str">
            <v>ARIAS</v>
          </cell>
          <cell r="C21" t="str">
            <v>VARGAS</v>
          </cell>
          <cell r="D21" t="str">
            <v>VALENTINA</v>
          </cell>
          <cell r="E21" t="str">
            <v>VALENTINA ARIAS VARGAS</v>
          </cell>
          <cell r="F21">
            <v>42940</v>
          </cell>
        </row>
        <row r="22">
          <cell r="A22" t="str">
            <v>17850122-4</v>
          </cell>
          <cell r="B22" t="str">
            <v>ARRIAGADA</v>
          </cell>
          <cell r="C22" t="str">
            <v>ARBUCH</v>
          </cell>
          <cell r="D22" t="str">
            <v>ELIANA</v>
          </cell>
          <cell r="E22" t="str">
            <v>ELIANA ARRIAGADA ARBUCH</v>
          </cell>
          <cell r="F22">
            <v>43313</v>
          </cell>
        </row>
        <row r="23">
          <cell r="A23" t="str">
            <v>18641517-5</v>
          </cell>
          <cell r="B23" t="str">
            <v>ARRIAGADA</v>
          </cell>
          <cell r="C23" t="str">
            <v>MORALES</v>
          </cell>
          <cell r="D23" t="str">
            <v>FRANCISCA</v>
          </cell>
          <cell r="E23" t="str">
            <v>FRANCISCA ARRIAGADA MORALES</v>
          </cell>
          <cell r="F23">
            <v>42591</v>
          </cell>
        </row>
        <row r="24">
          <cell r="A24" t="str">
            <v>17455683-0</v>
          </cell>
          <cell r="B24" t="str">
            <v>AUDALA</v>
          </cell>
          <cell r="C24" t="str">
            <v>CARREÑO</v>
          </cell>
          <cell r="D24" t="str">
            <v>RICARDO</v>
          </cell>
          <cell r="E24" t="str">
            <v>RICARDO AUDALA CARREÑO</v>
          </cell>
          <cell r="F24">
            <v>42396</v>
          </cell>
        </row>
        <row r="25">
          <cell r="A25" t="str">
            <v>10780407-2</v>
          </cell>
          <cell r="B25" t="str">
            <v>AVALOS</v>
          </cell>
          <cell r="C25" t="str">
            <v>EGUIGUREN</v>
          </cell>
          <cell r="D25" t="str">
            <v>CARLOS</v>
          </cell>
          <cell r="E25" t="str">
            <v>CARLOS AVALOS EGUIGUREN</v>
          </cell>
          <cell r="F25">
            <v>42979</v>
          </cell>
        </row>
        <row r="26">
          <cell r="A26" t="str">
            <v>18614113-K</v>
          </cell>
          <cell r="B26" t="str">
            <v>AYBAR</v>
          </cell>
          <cell r="C26" t="str">
            <v>TABILO</v>
          </cell>
          <cell r="D26" t="str">
            <v>LESLIE</v>
          </cell>
          <cell r="E26" t="str">
            <v>LESLIE AYBAR TABILO</v>
          </cell>
          <cell r="F26">
            <v>42948</v>
          </cell>
        </row>
        <row r="27">
          <cell r="A27" t="str">
            <v>17547477-3</v>
          </cell>
          <cell r="B27" t="str">
            <v>BAEZ</v>
          </cell>
          <cell r="C27" t="str">
            <v>CHAVARRÍA</v>
          </cell>
          <cell r="D27" t="str">
            <v>PILAR</v>
          </cell>
          <cell r="E27" t="str">
            <v>PILAR BAEZ CHAVARRÍA</v>
          </cell>
          <cell r="F27">
            <v>43191</v>
          </cell>
        </row>
        <row r="28">
          <cell r="A28" t="str">
            <v>15799628-2</v>
          </cell>
          <cell r="B28" t="str">
            <v>BAHAMONDES</v>
          </cell>
          <cell r="C28" t="str">
            <v>NARDECCHIA</v>
          </cell>
          <cell r="D28" t="str">
            <v>MARCO</v>
          </cell>
          <cell r="E28" t="str">
            <v>MARCO BAHAMONDES NARDECCHIA</v>
          </cell>
          <cell r="F28">
            <v>42658</v>
          </cell>
        </row>
        <row r="29">
          <cell r="A29" t="str">
            <v>17740170-6</v>
          </cell>
          <cell r="B29" t="str">
            <v>BAÑADOS</v>
          </cell>
          <cell r="C29" t="str">
            <v>DÍAZ</v>
          </cell>
          <cell r="D29" t="str">
            <v>MARÍA JOSÉ</v>
          </cell>
          <cell r="E29" t="str">
            <v>MARÍA JOSÉ BAÑADOS DÍAZ</v>
          </cell>
          <cell r="F29">
            <v>43255</v>
          </cell>
        </row>
        <row r="30">
          <cell r="A30" t="str">
            <v>15549546-4</v>
          </cell>
          <cell r="B30" t="str">
            <v>BARROS</v>
          </cell>
          <cell r="C30" t="str">
            <v>PINEDA</v>
          </cell>
          <cell r="D30" t="str">
            <v>BORIS</v>
          </cell>
          <cell r="E30" t="str">
            <v>BORIS BARROS PINEDA</v>
          </cell>
          <cell r="F30">
            <v>43221</v>
          </cell>
        </row>
        <row r="31">
          <cell r="A31" t="str">
            <v>17303152-1</v>
          </cell>
          <cell r="B31" t="str">
            <v>BASTIAS</v>
          </cell>
          <cell r="C31" t="str">
            <v>YAÑEZ</v>
          </cell>
          <cell r="D31" t="str">
            <v>WESSLY</v>
          </cell>
          <cell r="E31" t="str">
            <v>WESSLY BASTIAS YAÑEZ</v>
          </cell>
          <cell r="F31">
            <v>43284</v>
          </cell>
        </row>
        <row r="32">
          <cell r="A32" t="str">
            <v>15831629-3</v>
          </cell>
          <cell r="B32" t="str">
            <v>BELMAR</v>
          </cell>
          <cell r="C32" t="str">
            <v>ARAVENA</v>
          </cell>
          <cell r="D32" t="str">
            <v>JULIA</v>
          </cell>
          <cell r="E32" t="str">
            <v>JULIA BELMAR ARAVENA</v>
          </cell>
          <cell r="F32">
            <v>42758</v>
          </cell>
        </row>
        <row r="33">
          <cell r="A33" t="str">
            <v>25475218-5</v>
          </cell>
          <cell r="B33" t="str">
            <v>BENITEZ</v>
          </cell>
          <cell r="C33" t="str">
            <v>ASCANIO</v>
          </cell>
          <cell r="D33" t="str">
            <v>RAFAEL ERNESTO</v>
          </cell>
          <cell r="E33" t="str">
            <v>RAFAEL ERNESTO BENITEZ ASCANIO</v>
          </cell>
          <cell r="F33">
            <v>43299</v>
          </cell>
        </row>
        <row r="34">
          <cell r="A34" t="str">
            <v>16341060-5</v>
          </cell>
          <cell r="B34" t="str">
            <v>BENITEZ</v>
          </cell>
          <cell r="C34" t="str">
            <v>ORMAZABAL</v>
          </cell>
          <cell r="D34" t="str">
            <v>KARIN</v>
          </cell>
          <cell r="E34" t="str">
            <v>KARIN BENITEZ ORMAZABAL</v>
          </cell>
          <cell r="F34">
            <v>40679</v>
          </cell>
        </row>
        <row r="35">
          <cell r="A35" t="str">
            <v>13041690-K</v>
          </cell>
          <cell r="B35" t="str">
            <v>BERNAL</v>
          </cell>
          <cell r="C35" t="str">
            <v>TORRES</v>
          </cell>
          <cell r="D35" t="str">
            <v>CAMILA</v>
          </cell>
          <cell r="E35" t="str">
            <v>CAMILA BERNAL TORRES</v>
          </cell>
          <cell r="F35">
            <v>40217</v>
          </cell>
        </row>
        <row r="36">
          <cell r="A36" t="str">
            <v>10738046-9</v>
          </cell>
          <cell r="B36" t="str">
            <v>BEROIZ</v>
          </cell>
          <cell r="C36" t="str">
            <v>IÑIL</v>
          </cell>
          <cell r="D36" t="str">
            <v>JERY</v>
          </cell>
          <cell r="E36" t="str">
            <v>JERY BEROIZ IÑIL</v>
          </cell>
          <cell r="F36">
            <v>40532</v>
          </cell>
        </row>
        <row r="37">
          <cell r="A37" t="str">
            <v>17947493-K</v>
          </cell>
          <cell r="B37" t="str">
            <v>BEZARES</v>
          </cell>
          <cell r="C37" t="str">
            <v>FOUERE</v>
          </cell>
          <cell r="D37" t="str">
            <v>THIAGO</v>
          </cell>
          <cell r="E37" t="str">
            <v>THIAGO BEZARES FOUERE</v>
          </cell>
          <cell r="F37">
            <v>42863</v>
          </cell>
        </row>
        <row r="38">
          <cell r="A38" t="str">
            <v>26315843-1</v>
          </cell>
          <cell r="B38" t="str">
            <v>BORRE</v>
          </cell>
          <cell r="C38" t="str">
            <v>GRANADOS</v>
          </cell>
          <cell r="D38" t="str">
            <v>NESTOR ANDRES</v>
          </cell>
          <cell r="E38" t="str">
            <v>NESTOR ANDRES BORRE GRANADOS</v>
          </cell>
          <cell r="F38">
            <v>43678</v>
          </cell>
        </row>
        <row r="39">
          <cell r="A39" t="str">
            <v>17678828-3</v>
          </cell>
          <cell r="B39" t="str">
            <v>BRAVO</v>
          </cell>
          <cell r="C39" t="str">
            <v>PALMA</v>
          </cell>
          <cell r="D39" t="str">
            <v>CAMILO</v>
          </cell>
          <cell r="E39" t="str">
            <v>CAMILO BRAVO PALMA</v>
          </cell>
          <cell r="F39">
            <v>43348</v>
          </cell>
        </row>
        <row r="40">
          <cell r="A40" t="str">
            <v>13550948-5</v>
          </cell>
          <cell r="B40" t="str">
            <v>BRAVO</v>
          </cell>
          <cell r="C40" t="str">
            <v>VERA</v>
          </cell>
          <cell r="D40" t="str">
            <v>MARIELA MARLEN</v>
          </cell>
          <cell r="E40" t="str">
            <v>MARIELA MARLEN BRAVO VERA</v>
          </cell>
          <cell r="F40">
            <v>43731</v>
          </cell>
        </row>
        <row r="41">
          <cell r="A41" t="str">
            <v>17678464-4</v>
          </cell>
          <cell r="B41" t="str">
            <v>BRISO</v>
          </cell>
          <cell r="C41" t="str">
            <v>FLORES</v>
          </cell>
          <cell r="D41" t="str">
            <v>NICOLAS</v>
          </cell>
          <cell r="E41" t="str">
            <v>NICOLAS BRISO FLORES</v>
          </cell>
          <cell r="F41">
            <v>42583</v>
          </cell>
        </row>
        <row r="42">
          <cell r="A42" t="str">
            <v>16799239-0</v>
          </cell>
          <cell r="B42" t="str">
            <v>BUGUEÑO</v>
          </cell>
          <cell r="C42" t="str">
            <v>RIQUELME</v>
          </cell>
          <cell r="D42" t="str">
            <v>BASTIAN GABRIEL</v>
          </cell>
          <cell r="E42" t="str">
            <v>BASTIAN GABRIEL BUGUEÑO RIQUELME</v>
          </cell>
          <cell r="F42">
            <v>43587</v>
          </cell>
        </row>
        <row r="43">
          <cell r="A43" t="str">
            <v>18586946-6</v>
          </cell>
          <cell r="B43" t="str">
            <v>BURGOS</v>
          </cell>
          <cell r="C43" t="str">
            <v>MUÑOZ</v>
          </cell>
          <cell r="D43" t="str">
            <v>XIMENA</v>
          </cell>
          <cell r="E43" t="str">
            <v>XIMENA BURGOS MUÑOZ</v>
          </cell>
          <cell r="F43">
            <v>42989</v>
          </cell>
        </row>
        <row r="44">
          <cell r="A44" t="str">
            <v>15983804-8</v>
          </cell>
          <cell r="B44" t="str">
            <v>BUSTOS</v>
          </cell>
          <cell r="C44" t="str">
            <v>ARRIAGADA</v>
          </cell>
          <cell r="D44" t="str">
            <v>RODRIGO ESTEBAN</v>
          </cell>
          <cell r="E44" t="str">
            <v>RODRIGO ESTEBAN BUSTOS ARRIAGADA</v>
          </cell>
          <cell r="F44">
            <v>43617</v>
          </cell>
        </row>
        <row r="45">
          <cell r="A45" t="str">
            <v>25605603-8</v>
          </cell>
          <cell r="B45" t="str">
            <v>CABEZAS</v>
          </cell>
          <cell r="C45" t="str">
            <v>MONTILLA</v>
          </cell>
          <cell r="D45" t="str">
            <v>YOMAIRA</v>
          </cell>
          <cell r="E45" t="str">
            <v>YOMAIRA CABEZAS MONTILLA</v>
          </cell>
          <cell r="F45">
            <v>43318</v>
          </cell>
        </row>
        <row r="46">
          <cell r="A46" t="str">
            <v>17642490-7</v>
          </cell>
          <cell r="B46" t="str">
            <v>CABRERA</v>
          </cell>
          <cell r="C46" t="str">
            <v>DE LA PIEDRA</v>
          </cell>
          <cell r="D46" t="str">
            <v>JOSÉ MIGUEL</v>
          </cell>
          <cell r="E46" t="str">
            <v>JOSÉ MIGUEL CABRERA DE LA PIEDRA</v>
          </cell>
          <cell r="F46">
            <v>43273</v>
          </cell>
        </row>
        <row r="47">
          <cell r="A47" t="str">
            <v>15077923-5</v>
          </cell>
          <cell r="B47" t="str">
            <v>CABRERA</v>
          </cell>
          <cell r="C47" t="str">
            <v>HERRERA</v>
          </cell>
          <cell r="D47" t="str">
            <v>DANIELA</v>
          </cell>
          <cell r="E47" t="str">
            <v>DANIELA CABRERA HERRERA</v>
          </cell>
          <cell r="F47">
            <v>43318</v>
          </cell>
        </row>
        <row r="48">
          <cell r="A48" t="str">
            <v>17309991-6</v>
          </cell>
          <cell r="B48" t="str">
            <v>CABRINI</v>
          </cell>
          <cell r="C48" t="str">
            <v>CABRINI</v>
          </cell>
          <cell r="D48" t="str">
            <v>ALVARO</v>
          </cell>
          <cell r="E48" t="str">
            <v>ALVARO CABRINI CABRINI</v>
          </cell>
          <cell r="F48">
            <v>43325</v>
          </cell>
        </row>
        <row r="49">
          <cell r="A49" t="str">
            <v>16425600-6</v>
          </cell>
          <cell r="B49" t="str">
            <v>CAMPOS</v>
          </cell>
          <cell r="C49" t="str">
            <v>NAVARRO</v>
          </cell>
          <cell r="D49" t="str">
            <v>FELIPE</v>
          </cell>
          <cell r="E49" t="str">
            <v>FELIPE CAMPOS NAVARRO</v>
          </cell>
          <cell r="F49">
            <v>43019</v>
          </cell>
        </row>
        <row r="50">
          <cell r="A50" t="str">
            <v>18391034-5</v>
          </cell>
          <cell r="B50" t="str">
            <v>CAMPOS</v>
          </cell>
          <cell r="C50" t="str">
            <v>WALDRON</v>
          </cell>
          <cell r="D50" t="str">
            <v>CAMILA</v>
          </cell>
          <cell r="E50" t="str">
            <v>CAMILA CAMPOS WALDRON</v>
          </cell>
          <cell r="F50">
            <v>43059</v>
          </cell>
        </row>
        <row r="51">
          <cell r="A51" t="str">
            <v>18120555-5</v>
          </cell>
          <cell r="B51" t="str">
            <v>CANO</v>
          </cell>
          <cell r="C51" t="str">
            <v>ROJAS</v>
          </cell>
          <cell r="D51" t="str">
            <v>VALENTINA</v>
          </cell>
          <cell r="E51" t="str">
            <v>VALENTINA CANO ROJAS</v>
          </cell>
          <cell r="F51">
            <v>42961</v>
          </cell>
        </row>
        <row r="52">
          <cell r="A52" t="str">
            <v>17702783-9</v>
          </cell>
          <cell r="B52" t="str">
            <v>CAÑAS</v>
          </cell>
          <cell r="C52" t="str">
            <v>HERNANDEZ</v>
          </cell>
          <cell r="D52" t="str">
            <v>JAVIERA</v>
          </cell>
          <cell r="E52" t="str">
            <v>JAVIERA CAÑAS HERNANDEZ</v>
          </cell>
          <cell r="F52">
            <v>42898</v>
          </cell>
        </row>
        <row r="53">
          <cell r="A53" t="str">
            <v>24637490-2</v>
          </cell>
          <cell r="B53" t="str">
            <v>CARBONELL</v>
          </cell>
          <cell r="C53" t="str">
            <v>PARES</v>
          </cell>
          <cell r="D53" t="str">
            <v>PEDRO ENRIQUE</v>
          </cell>
          <cell r="E53" t="str">
            <v>PEDRO ENRIQUE CARBONELL PARES</v>
          </cell>
          <cell r="F53">
            <v>43668</v>
          </cell>
        </row>
        <row r="54">
          <cell r="A54" t="str">
            <v>26370198-4</v>
          </cell>
          <cell r="B54" t="str">
            <v>CARMONA</v>
          </cell>
          <cell r="C54" t="str">
            <v>ROMERO</v>
          </cell>
          <cell r="D54" t="str">
            <v>TOMMY</v>
          </cell>
          <cell r="E54" t="str">
            <v>TOMMY CARMONA ROMERO</v>
          </cell>
          <cell r="F54">
            <v>43381</v>
          </cell>
        </row>
        <row r="55">
          <cell r="A55" t="str">
            <v>18295777-1</v>
          </cell>
          <cell r="B55" t="str">
            <v>CARREÑO</v>
          </cell>
          <cell r="C55" t="str">
            <v>OLAVE</v>
          </cell>
          <cell r="D55" t="str">
            <v>KATHERIN</v>
          </cell>
          <cell r="E55" t="str">
            <v>KATHERIN CARREÑO OLAVE</v>
          </cell>
          <cell r="F55">
            <v>43313</v>
          </cell>
        </row>
        <row r="56">
          <cell r="A56" t="str">
            <v>24987452-3</v>
          </cell>
          <cell r="B56" t="str">
            <v>CARVAJAL</v>
          </cell>
          <cell r="C56" t="str">
            <v>ROMERO</v>
          </cell>
          <cell r="D56" t="str">
            <v>JENNIFER</v>
          </cell>
          <cell r="E56" t="str">
            <v>JENNIFER CARVAJAL ROMERO</v>
          </cell>
          <cell r="F56">
            <v>43255</v>
          </cell>
        </row>
        <row r="57">
          <cell r="A57" t="str">
            <v>11264699-K</v>
          </cell>
          <cell r="B57" t="str">
            <v>CASTILLO</v>
          </cell>
          <cell r="C57" t="str">
            <v>DONOSO</v>
          </cell>
          <cell r="D57" t="str">
            <v>IRENE</v>
          </cell>
          <cell r="E57" t="str">
            <v>IRENE CASTILLO DONOSO</v>
          </cell>
          <cell r="F57">
            <v>39580</v>
          </cell>
        </row>
        <row r="58">
          <cell r="A58" t="str">
            <v>22698038-5</v>
          </cell>
          <cell r="B58" t="str">
            <v>CASTILLO</v>
          </cell>
          <cell r="C58" t="str">
            <v>REYES</v>
          </cell>
          <cell r="D58" t="str">
            <v>GISSELLE</v>
          </cell>
          <cell r="E58" t="str">
            <v>GISSELLE CASTILLO REYES</v>
          </cell>
          <cell r="F58">
            <v>43284</v>
          </cell>
        </row>
        <row r="59">
          <cell r="A59" t="str">
            <v>26193003-k</v>
          </cell>
          <cell r="B59" t="str">
            <v>CASTRO</v>
          </cell>
          <cell r="C59" t="str">
            <v>CASTRO</v>
          </cell>
          <cell r="D59" t="str">
            <v>IVONE ANAIS</v>
          </cell>
          <cell r="E59" t="str">
            <v>IVONE ANAIS CASTRO CASTRO</v>
          </cell>
          <cell r="F59">
            <v>43497</v>
          </cell>
        </row>
        <row r="60">
          <cell r="A60" t="str">
            <v>17812389-0</v>
          </cell>
          <cell r="B60" t="str">
            <v>CASTRO</v>
          </cell>
          <cell r="C60" t="str">
            <v>PAVEZ</v>
          </cell>
          <cell r="D60" t="str">
            <v>PRISCILA</v>
          </cell>
          <cell r="E60" t="str">
            <v>PRISCILA CASTRO PAVEZ</v>
          </cell>
          <cell r="F60">
            <v>43313</v>
          </cell>
        </row>
        <row r="61">
          <cell r="A61" t="str">
            <v>24613697-1</v>
          </cell>
          <cell r="B61" t="str">
            <v>CATOGGIO</v>
          </cell>
          <cell r="C61" t="str">
            <v>.</v>
          </cell>
          <cell r="D61" t="str">
            <v>PABLO MARTIN</v>
          </cell>
          <cell r="E61" t="str">
            <v>PABLO MARTIN CATOGGIO .</v>
          </cell>
          <cell r="F61">
            <v>43577</v>
          </cell>
        </row>
        <row r="62">
          <cell r="A62" t="str">
            <v>17739179-4</v>
          </cell>
          <cell r="B62" t="str">
            <v>CEBALLOS</v>
          </cell>
          <cell r="C62" t="str">
            <v>SALVO</v>
          </cell>
          <cell r="D62" t="str">
            <v>JOHANNA</v>
          </cell>
          <cell r="E62" t="str">
            <v>JOHANNA CEBALLOS SALVO</v>
          </cell>
          <cell r="F62">
            <v>43070</v>
          </cell>
        </row>
        <row r="63">
          <cell r="A63" t="str">
            <v>16072645-8</v>
          </cell>
          <cell r="B63" t="str">
            <v>CEPEDA</v>
          </cell>
          <cell r="C63" t="str">
            <v>MILANOVIC</v>
          </cell>
          <cell r="D63" t="str">
            <v>CAROLINA</v>
          </cell>
          <cell r="E63" t="str">
            <v>CAROLINA CEPEDA MILANOVIC</v>
          </cell>
          <cell r="F63">
            <v>43332</v>
          </cell>
        </row>
        <row r="64">
          <cell r="A64" t="str">
            <v>8095019-5</v>
          </cell>
          <cell r="B64" t="str">
            <v>CESPEDES</v>
          </cell>
          <cell r="C64" t="str">
            <v>FIGUEROA</v>
          </cell>
          <cell r="D64" t="str">
            <v>BEATRIZ</v>
          </cell>
          <cell r="E64" t="str">
            <v>BEATRIZ CESPEDES FIGUEROA</v>
          </cell>
          <cell r="F64">
            <v>43227</v>
          </cell>
        </row>
        <row r="65">
          <cell r="A65" t="str">
            <v>17684316-0</v>
          </cell>
          <cell r="B65" t="str">
            <v>CHACON</v>
          </cell>
          <cell r="C65" t="str">
            <v>PEREZ</v>
          </cell>
          <cell r="D65" t="str">
            <v>DAVID IGNACIO</v>
          </cell>
          <cell r="E65" t="str">
            <v>DAVID IGNACIO CHACON PEREZ</v>
          </cell>
          <cell r="F65">
            <v>43731</v>
          </cell>
        </row>
        <row r="66">
          <cell r="A66" t="str">
            <v>13523344-7</v>
          </cell>
          <cell r="B66" t="str">
            <v>CHAVEZ</v>
          </cell>
          <cell r="C66" t="str">
            <v>CHAVEZ</v>
          </cell>
          <cell r="D66" t="str">
            <v>CLAUDIO</v>
          </cell>
          <cell r="E66" t="str">
            <v>CLAUDIO CHAVEZ CHAVEZ</v>
          </cell>
          <cell r="F66">
            <v>43070</v>
          </cell>
        </row>
        <row r="67">
          <cell r="A67" t="str">
            <v>15077418-7</v>
          </cell>
          <cell r="B67" t="str">
            <v>CHIRINO</v>
          </cell>
          <cell r="C67" t="str">
            <v>CERPA</v>
          </cell>
          <cell r="D67" t="str">
            <v>PILAR</v>
          </cell>
          <cell r="E67" t="str">
            <v>PILAR CHIRINO CERPA</v>
          </cell>
          <cell r="F67">
            <v>42644</v>
          </cell>
        </row>
        <row r="68">
          <cell r="A68" t="str">
            <v>10998690-9</v>
          </cell>
          <cell r="B68" t="str">
            <v>CHOMALI</v>
          </cell>
          <cell r="C68" t="str">
            <v>MIRANDA</v>
          </cell>
          <cell r="D68" t="str">
            <v>CAROLINA</v>
          </cell>
          <cell r="E68" t="str">
            <v>CAROLINA CHOMALI MIRANDA</v>
          </cell>
          <cell r="F68">
            <v>43299</v>
          </cell>
        </row>
        <row r="69">
          <cell r="A69" t="str">
            <v>15079946-5</v>
          </cell>
          <cell r="B69" t="str">
            <v>CIFUENTES</v>
          </cell>
          <cell r="C69" t="str">
            <v>JARA</v>
          </cell>
          <cell r="D69" t="str">
            <v>RODRIGO</v>
          </cell>
          <cell r="E69" t="str">
            <v>RODRIGO CIFUENTES JARA</v>
          </cell>
          <cell r="F69">
            <v>41239</v>
          </cell>
        </row>
        <row r="70">
          <cell r="A70" t="str">
            <v>7128378-K</v>
          </cell>
          <cell r="B70" t="str">
            <v>COBO</v>
          </cell>
          <cell r="C70" t="str">
            <v>GIANCÁSPERO</v>
          </cell>
          <cell r="D70" t="str">
            <v>MARIO</v>
          </cell>
          <cell r="E70" t="str">
            <v>MARIO COBO GIANCÁSPERO</v>
          </cell>
          <cell r="F70">
            <v>43191</v>
          </cell>
        </row>
        <row r="71">
          <cell r="A71" t="str">
            <v>12956487-3</v>
          </cell>
          <cell r="B71" t="str">
            <v>COFRE</v>
          </cell>
          <cell r="C71" t="str">
            <v>MARIMAN</v>
          </cell>
          <cell r="D71" t="str">
            <v>PAOLA</v>
          </cell>
          <cell r="E71" t="str">
            <v>PAOLA COFRE MARIMAN</v>
          </cell>
          <cell r="F71">
            <v>42347</v>
          </cell>
        </row>
        <row r="72">
          <cell r="A72" t="str">
            <v>15620197-9</v>
          </cell>
          <cell r="B72" t="str">
            <v>COFRE</v>
          </cell>
          <cell r="C72" t="str">
            <v>SOTO</v>
          </cell>
          <cell r="D72" t="str">
            <v>FRANCISCO</v>
          </cell>
          <cell r="E72" t="str">
            <v>FRANCISCO COFRE SOTO</v>
          </cell>
          <cell r="F72">
            <v>42856</v>
          </cell>
        </row>
        <row r="73">
          <cell r="A73" t="str">
            <v>14596739-2</v>
          </cell>
          <cell r="B73" t="str">
            <v>COLE</v>
          </cell>
          <cell r="C73" t="str">
            <v>.</v>
          </cell>
          <cell r="D73" t="str">
            <v>MATTHEW</v>
          </cell>
          <cell r="E73" t="str">
            <v>MATTHEW COLE .</v>
          </cell>
          <cell r="F73">
            <v>42430</v>
          </cell>
        </row>
        <row r="74">
          <cell r="A74" t="str">
            <v>18621579-6</v>
          </cell>
          <cell r="B74" t="str">
            <v>COLVIN</v>
          </cell>
          <cell r="C74" t="str">
            <v>FLORES</v>
          </cell>
          <cell r="D74" t="str">
            <v>ARTURO</v>
          </cell>
          <cell r="E74" t="str">
            <v>ARTURO COLVIN FLORES</v>
          </cell>
          <cell r="F74">
            <v>42618</v>
          </cell>
        </row>
        <row r="75">
          <cell r="A75" t="str">
            <v>23594563-0</v>
          </cell>
          <cell r="B75" t="str">
            <v>CONCHA</v>
          </cell>
          <cell r="C75" t="str">
            <v>BASTIAS</v>
          </cell>
          <cell r="D75" t="str">
            <v>AXEL ANDRES</v>
          </cell>
          <cell r="E75" t="str">
            <v>AXEL ANDRES CONCHA BASTIAS</v>
          </cell>
          <cell r="F75">
            <v>43633</v>
          </cell>
        </row>
        <row r="76">
          <cell r="A76" t="str">
            <v>17766975-K</v>
          </cell>
          <cell r="B76" t="str">
            <v>CONTRERAS</v>
          </cell>
          <cell r="C76" t="str">
            <v>GRANDÓN</v>
          </cell>
          <cell r="D76" t="str">
            <v>ANGELO</v>
          </cell>
          <cell r="E76" t="str">
            <v>ANGELO CONTRERAS GRANDÓN</v>
          </cell>
          <cell r="F76">
            <v>43009</v>
          </cell>
        </row>
        <row r="77">
          <cell r="A77" t="str">
            <v>17303139-4</v>
          </cell>
          <cell r="B77" t="str">
            <v>CONTRERAS</v>
          </cell>
          <cell r="C77" t="str">
            <v>QUIROZ</v>
          </cell>
          <cell r="D77" t="str">
            <v>JOCELYN CAROLINA</v>
          </cell>
          <cell r="E77" t="str">
            <v>JOCELYN CAROLINA CONTRERAS QUIROZ</v>
          </cell>
          <cell r="F77">
            <v>43789</v>
          </cell>
        </row>
        <row r="78">
          <cell r="A78" t="str">
            <v>19290727-6</v>
          </cell>
          <cell r="B78" t="str">
            <v>CONTRERAS</v>
          </cell>
          <cell r="C78" t="str">
            <v>REBOLLEDO</v>
          </cell>
          <cell r="D78" t="str">
            <v>EDGARDO</v>
          </cell>
          <cell r="E78" t="str">
            <v>EDGARDO CONTRERAS REBOLLEDO</v>
          </cell>
          <cell r="F78">
            <v>42919</v>
          </cell>
        </row>
        <row r="79">
          <cell r="A79" t="str">
            <v>17373833-1</v>
          </cell>
          <cell r="B79" t="str">
            <v>CORDOVA</v>
          </cell>
          <cell r="C79" t="str">
            <v>SOTO</v>
          </cell>
          <cell r="D79" t="str">
            <v>FELIPE ORLANDO</v>
          </cell>
          <cell r="E79" t="str">
            <v>FELIPE ORLANDO CORDOVA SOTO</v>
          </cell>
          <cell r="F79">
            <v>43558</v>
          </cell>
        </row>
        <row r="80">
          <cell r="A80" t="str">
            <v>15917501-4</v>
          </cell>
          <cell r="B80" t="str">
            <v>CORREA</v>
          </cell>
          <cell r="C80" t="str">
            <v>FIGUEROA</v>
          </cell>
          <cell r="D80" t="str">
            <v>ALEJANDRA LISSETTE</v>
          </cell>
          <cell r="E80" t="str">
            <v>ALEJANDRA LISSETTE CORREA FIGUEROA</v>
          </cell>
          <cell r="F80">
            <v>43682</v>
          </cell>
        </row>
        <row r="81">
          <cell r="A81" t="str">
            <v>26213773-2</v>
          </cell>
          <cell r="B81" t="str">
            <v>CORTEZ</v>
          </cell>
          <cell r="C81" t="str">
            <v>BAZAN</v>
          </cell>
          <cell r="D81" t="str">
            <v>CARLOS EDUARDO</v>
          </cell>
          <cell r="E81" t="str">
            <v>CARLOS EDUARDO CORTEZ BAZAN</v>
          </cell>
          <cell r="F81">
            <v>43486</v>
          </cell>
        </row>
        <row r="82">
          <cell r="A82" t="str">
            <v>18098993-5</v>
          </cell>
          <cell r="B82" t="str">
            <v>CUBILLOS</v>
          </cell>
          <cell r="C82" t="str">
            <v>MUÑOZ</v>
          </cell>
          <cell r="D82" t="str">
            <v>AMANDA</v>
          </cell>
          <cell r="E82" t="str">
            <v>AMANDA CUBILLOS MUÑOZ</v>
          </cell>
          <cell r="F82">
            <v>43103</v>
          </cell>
        </row>
        <row r="83">
          <cell r="A83" t="str">
            <v>25125318-8</v>
          </cell>
          <cell r="B83" t="str">
            <v>DE ANDRADE</v>
          </cell>
          <cell r="C83" t="str">
            <v>HERRERA</v>
          </cell>
          <cell r="D83" t="str">
            <v>YERLIS YORLIANA</v>
          </cell>
          <cell r="E83" t="str">
            <v>YERLIS YORLIANA DE ANDRADE HERRERA</v>
          </cell>
          <cell r="F83">
            <v>43668</v>
          </cell>
        </row>
        <row r="84">
          <cell r="A84" t="str">
            <v>17325530-6</v>
          </cell>
          <cell r="B84" t="str">
            <v>DE FRAIA</v>
          </cell>
          <cell r="C84" t="str">
            <v>RODRIGUEZ</v>
          </cell>
          <cell r="D84" t="str">
            <v>FRANCESCA</v>
          </cell>
          <cell r="E84" t="str">
            <v>FRANCESCA DE FRAIA RODRIGUEZ</v>
          </cell>
          <cell r="F84">
            <v>43234</v>
          </cell>
        </row>
        <row r="85">
          <cell r="A85" t="str">
            <v>14131209-k</v>
          </cell>
          <cell r="B85" t="str">
            <v>DE LATHOUDER</v>
          </cell>
          <cell r="C85" t="str">
            <v xml:space="preserve">ARRIETA </v>
          </cell>
          <cell r="D85" t="str">
            <v>KARLA ANTJE</v>
          </cell>
          <cell r="E85" t="str">
            <v xml:space="preserve">KARLA ANTJE DE LATHOUDER ARRIETA </v>
          </cell>
          <cell r="F85">
            <v>43384</v>
          </cell>
        </row>
        <row r="86">
          <cell r="A86" t="str">
            <v>17597481-4</v>
          </cell>
          <cell r="B86" t="str">
            <v>DEL REAL</v>
          </cell>
          <cell r="C86" t="str">
            <v>MOORE</v>
          </cell>
          <cell r="D86" t="str">
            <v>KARLA</v>
          </cell>
          <cell r="E86" t="str">
            <v>KARLA DEL REAL MOORE</v>
          </cell>
          <cell r="F86">
            <v>43132</v>
          </cell>
        </row>
        <row r="87">
          <cell r="A87" t="str">
            <v>16606403-1</v>
          </cell>
          <cell r="B87" t="str">
            <v>DIEGUEZ</v>
          </cell>
          <cell r="C87" t="str">
            <v>SCHRODER</v>
          </cell>
          <cell r="D87" t="str">
            <v>NICOLAS</v>
          </cell>
          <cell r="E87" t="str">
            <v>NICOLAS DIEGUEZ SCHRODER</v>
          </cell>
          <cell r="F87">
            <v>43633</v>
          </cell>
        </row>
        <row r="88">
          <cell r="A88" t="str">
            <v>18126286-9</v>
          </cell>
          <cell r="B88" t="str">
            <v>DINAMARCA</v>
          </cell>
          <cell r="C88" t="str">
            <v>LOBOS</v>
          </cell>
          <cell r="D88" t="str">
            <v>MELISSA</v>
          </cell>
          <cell r="E88" t="str">
            <v>MELISSA DINAMARCA LOBOS</v>
          </cell>
          <cell r="F88">
            <v>41821</v>
          </cell>
        </row>
        <row r="89">
          <cell r="A89" t="str">
            <v>16742495-3</v>
          </cell>
          <cell r="B89" t="str">
            <v>DONOSO</v>
          </cell>
          <cell r="C89" t="str">
            <v>LARA</v>
          </cell>
          <cell r="D89" t="str">
            <v>ALEJANDRA PAOLA</v>
          </cell>
          <cell r="E89" t="str">
            <v>ALEJANDRA PAOLA DONOSO LARA</v>
          </cell>
          <cell r="F89">
            <v>43773</v>
          </cell>
        </row>
        <row r="90">
          <cell r="A90" t="str">
            <v>14157625-9</v>
          </cell>
          <cell r="B90" t="str">
            <v>DROGUETT</v>
          </cell>
          <cell r="C90" t="str">
            <v>SANDOVAL</v>
          </cell>
          <cell r="D90" t="str">
            <v>FELIPE</v>
          </cell>
          <cell r="E90" t="str">
            <v>FELIPE DROGUETT SANDOVAL</v>
          </cell>
          <cell r="F90">
            <v>42877</v>
          </cell>
        </row>
        <row r="91">
          <cell r="A91" t="str">
            <v>10956075-8</v>
          </cell>
          <cell r="B91" t="str">
            <v>DURAN</v>
          </cell>
          <cell r="C91" t="str">
            <v>HERNANDEZ</v>
          </cell>
          <cell r="D91" t="str">
            <v>ARIEL PATRICIO</v>
          </cell>
          <cell r="E91" t="str">
            <v>ARIEL PATRICIO DURAN HERNANDEZ</v>
          </cell>
          <cell r="F91">
            <v>43558</v>
          </cell>
        </row>
        <row r="92">
          <cell r="A92" t="str">
            <v>14490212-2</v>
          </cell>
          <cell r="B92" t="str">
            <v>ELIAS</v>
          </cell>
          <cell r="C92" t="str">
            <v>RUIZ</v>
          </cell>
          <cell r="D92" t="str">
            <v>MARIXA</v>
          </cell>
          <cell r="E92" t="str">
            <v>MARIXA ELIAS RUIZ</v>
          </cell>
          <cell r="F92">
            <v>43236</v>
          </cell>
        </row>
        <row r="93">
          <cell r="A93" t="str">
            <v>18077705-9</v>
          </cell>
          <cell r="B93" t="str">
            <v>ERRAZURIZ</v>
          </cell>
          <cell r="C93" t="str">
            <v>MACIAS</v>
          </cell>
          <cell r="D93" t="str">
            <v>DIEGO</v>
          </cell>
          <cell r="E93" t="str">
            <v>DIEGO ERRAZURIZ MACIAS</v>
          </cell>
          <cell r="F93">
            <v>42917</v>
          </cell>
        </row>
        <row r="94">
          <cell r="A94" t="str">
            <v>18340856-9</v>
          </cell>
          <cell r="B94" t="str">
            <v>ESCOBAR</v>
          </cell>
          <cell r="C94" t="str">
            <v>CHEUQUEPIL</v>
          </cell>
          <cell r="D94" t="str">
            <v>ISAIAS</v>
          </cell>
          <cell r="E94" t="str">
            <v>ISAIAS ESCOBAR CHEUQUEPIL</v>
          </cell>
          <cell r="F94">
            <v>42648</v>
          </cell>
        </row>
        <row r="95">
          <cell r="A95" t="str">
            <v>18537922-1</v>
          </cell>
          <cell r="B95" t="str">
            <v xml:space="preserve">ESCOBAR </v>
          </cell>
          <cell r="C95" t="str">
            <v>CHAVEZ</v>
          </cell>
          <cell r="D95" t="str">
            <v>PAULA JAVIERA</v>
          </cell>
          <cell r="E95" t="str">
            <v>PAULA JAVIERA ESCOBAR  CHAVEZ</v>
          </cell>
          <cell r="F95">
            <v>43586</v>
          </cell>
        </row>
        <row r="96">
          <cell r="A96" t="str">
            <v>15749218-7</v>
          </cell>
          <cell r="B96" t="str">
            <v>ESCUDERO</v>
          </cell>
          <cell r="C96" t="str">
            <v>CONTRERAS</v>
          </cell>
          <cell r="D96" t="str">
            <v>PAOLA</v>
          </cell>
          <cell r="E96" t="str">
            <v>PAOLA ESCUDERO CONTRERAS</v>
          </cell>
          <cell r="F96">
            <v>41730</v>
          </cell>
        </row>
        <row r="97">
          <cell r="A97" t="str">
            <v>13703770-K</v>
          </cell>
          <cell r="B97" t="str">
            <v>ESPINOZA</v>
          </cell>
          <cell r="C97" t="str">
            <v>TOBAR</v>
          </cell>
          <cell r="D97" t="str">
            <v>KAREN</v>
          </cell>
          <cell r="E97" t="str">
            <v>KAREN ESPINOZA TOBAR</v>
          </cell>
          <cell r="F97">
            <v>42779</v>
          </cell>
        </row>
        <row r="98">
          <cell r="A98" t="str">
            <v>18613966-6</v>
          </cell>
          <cell r="B98" t="str">
            <v>ESTAY</v>
          </cell>
          <cell r="C98" t="str">
            <v>CABELLO</v>
          </cell>
          <cell r="D98" t="str">
            <v>FERNANDA</v>
          </cell>
          <cell r="E98" t="str">
            <v>FERNANDA ESTAY CABELLO</v>
          </cell>
          <cell r="F98">
            <v>43011</v>
          </cell>
        </row>
        <row r="99">
          <cell r="A99" t="str">
            <v>17333768-K</v>
          </cell>
          <cell r="B99" t="str">
            <v>FARIAS</v>
          </cell>
          <cell r="C99" t="str">
            <v>GUZMAN</v>
          </cell>
          <cell r="D99" t="str">
            <v>MARJORIE</v>
          </cell>
          <cell r="E99" t="str">
            <v>MARJORIE FARIAS GUZMAN</v>
          </cell>
          <cell r="F99">
            <v>42620</v>
          </cell>
        </row>
        <row r="100">
          <cell r="A100" t="str">
            <v>10700386-K</v>
          </cell>
          <cell r="B100" t="str">
            <v>FARIAS</v>
          </cell>
          <cell r="C100" t="str">
            <v>SASIA</v>
          </cell>
          <cell r="D100" t="str">
            <v>RUBEN</v>
          </cell>
          <cell r="E100" t="str">
            <v>RUBEN FARIAS SASIA</v>
          </cell>
          <cell r="F100">
            <v>43191</v>
          </cell>
        </row>
        <row r="101">
          <cell r="A101" t="str">
            <v>18636316-7</v>
          </cell>
          <cell r="B101" t="str">
            <v>FELIU</v>
          </cell>
          <cell r="C101" t="str">
            <v>JARPA</v>
          </cell>
          <cell r="D101" t="str">
            <v>NICOLE DOMINIQUE</v>
          </cell>
          <cell r="E101" t="str">
            <v>NICOLE DOMINIQUE FELIU JARPA</v>
          </cell>
          <cell r="F101">
            <v>43724</v>
          </cell>
        </row>
        <row r="102">
          <cell r="A102" t="str">
            <v>15902516-0</v>
          </cell>
          <cell r="B102" t="str">
            <v>FERNANDEZ</v>
          </cell>
          <cell r="C102" t="str">
            <v>ESPINOZA</v>
          </cell>
          <cell r="D102" t="str">
            <v>FELIPE ALEJANDRO</v>
          </cell>
          <cell r="E102" t="str">
            <v>FELIPE ALEJANDRO FERNANDEZ ESPINOZA</v>
          </cell>
          <cell r="F102">
            <v>43668</v>
          </cell>
        </row>
        <row r="103">
          <cell r="A103" t="str">
            <v>26124921-9</v>
          </cell>
          <cell r="B103" t="str">
            <v>FERRER</v>
          </cell>
          <cell r="C103" t="str">
            <v>PETTY</v>
          </cell>
          <cell r="D103" t="str">
            <v>JULIO CESAR</v>
          </cell>
          <cell r="E103" t="str">
            <v>JULIO CESAR FERRER PETTY</v>
          </cell>
          <cell r="F103">
            <v>43549</v>
          </cell>
        </row>
        <row r="104">
          <cell r="A104" t="str">
            <v>15801562-5</v>
          </cell>
          <cell r="B104" t="str">
            <v>FIGUEROA</v>
          </cell>
          <cell r="C104" t="str">
            <v>MUÑOZ</v>
          </cell>
          <cell r="D104" t="str">
            <v>JOAQUIN</v>
          </cell>
          <cell r="E104" t="str">
            <v>JOAQUIN FIGUEROA MUÑOZ</v>
          </cell>
          <cell r="F104">
            <v>43416</v>
          </cell>
        </row>
        <row r="105">
          <cell r="A105" t="str">
            <v>16862721-1</v>
          </cell>
          <cell r="B105" t="str">
            <v>FLORES</v>
          </cell>
          <cell r="C105" t="str">
            <v>GUERRERO</v>
          </cell>
          <cell r="D105" t="str">
            <v>CLAUDIA ANDREA</v>
          </cell>
          <cell r="E105" t="str">
            <v>CLAUDIA ANDREA FLORES GUERRERO</v>
          </cell>
          <cell r="F105">
            <v>43700</v>
          </cell>
        </row>
        <row r="106">
          <cell r="A106" t="str">
            <v>18481893-0</v>
          </cell>
          <cell r="B106" t="str">
            <v>FUENTES</v>
          </cell>
          <cell r="C106" t="str">
            <v>GONZALEZ</v>
          </cell>
          <cell r="D106" t="str">
            <v>NERIS</v>
          </cell>
          <cell r="E106" t="str">
            <v>NERIS FUENTES GONZALEZ</v>
          </cell>
          <cell r="F106">
            <v>42898</v>
          </cell>
        </row>
        <row r="107">
          <cell r="A107" t="str">
            <v>13079649-4</v>
          </cell>
          <cell r="B107" t="str">
            <v>GALVEZ</v>
          </cell>
          <cell r="C107" t="str">
            <v>LERTORA</v>
          </cell>
          <cell r="D107" t="str">
            <v>PAOLA</v>
          </cell>
          <cell r="E107" t="str">
            <v>PAOLA GALVEZ LERTORA</v>
          </cell>
          <cell r="F107">
            <v>42649</v>
          </cell>
        </row>
        <row r="108">
          <cell r="A108" t="str">
            <v>15465850-5</v>
          </cell>
          <cell r="B108" t="str">
            <v>GALVEZ</v>
          </cell>
          <cell r="C108" t="str">
            <v>MORENO</v>
          </cell>
          <cell r="D108" t="str">
            <v>ROBERTO ALEJANDRO</v>
          </cell>
          <cell r="E108" t="str">
            <v>ROBERTO ALEJANDRO GALVEZ MORENO</v>
          </cell>
          <cell r="F108">
            <v>43558</v>
          </cell>
        </row>
        <row r="109">
          <cell r="A109" t="str">
            <v>17951035-9</v>
          </cell>
          <cell r="B109" t="str">
            <v>GAMURI</v>
          </cell>
          <cell r="C109" t="str">
            <v>CATARSIS</v>
          </cell>
          <cell r="D109" t="str">
            <v>LISE SIMONA</v>
          </cell>
          <cell r="E109" t="str">
            <v>LISE SIMONA GAMURI CATARSIS</v>
          </cell>
          <cell r="F109">
            <v>43482</v>
          </cell>
        </row>
        <row r="110">
          <cell r="A110" t="str">
            <v>13642043-7</v>
          </cell>
          <cell r="B110" t="str">
            <v>GANDARA</v>
          </cell>
          <cell r="C110" t="str">
            <v>JUNEMANN</v>
          </cell>
          <cell r="D110" t="str">
            <v>MATIAS</v>
          </cell>
          <cell r="E110" t="str">
            <v>MATIAS GANDARA JUNEMANN</v>
          </cell>
          <cell r="F110">
            <v>43221</v>
          </cell>
        </row>
        <row r="111">
          <cell r="A111" t="str">
            <v>15864824-5</v>
          </cell>
          <cell r="B111" t="str">
            <v>GARAY</v>
          </cell>
          <cell r="C111" t="str">
            <v>GARAY</v>
          </cell>
          <cell r="D111" t="str">
            <v>JAVIER</v>
          </cell>
          <cell r="E111" t="str">
            <v>JAVIER GARAY GARAY</v>
          </cell>
          <cell r="F111">
            <v>43115</v>
          </cell>
        </row>
        <row r="112">
          <cell r="A112" t="str">
            <v>13460595-2</v>
          </cell>
          <cell r="B112" t="str">
            <v>GARRIDO</v>
          </cell>
          <cell r="C112" t="str">
            <v>GALAZ</v>
          </cell>
          <cell r="D112" t="str">
            <v>EDUARDO</v>
          </cell>
          <cell r="E112" t="str">
            <v>EDUARDO GARRIDO GALAZ</v>
          </cell>
          <cell r="F112">
            <v>42736</v>
          </cell>
        </row>
        <row r="113">
          <cell r="A113" t="str">
            <v>15340931-5</v>
          </cell>
          <cell r="B113" t="str">
            <v>GELLONA</v>
          </cell>
          <cell r="C113" t="str">
            <v>MEZA</v>
          </cell>
          <cell r="D113" t="str">
            <v>GIANNI</v>
          </cell>
          <cell r="E113" t="str">
            <v>GIANNI GELLONA MEZA</v>
          </cell>
          <cell r="F113">
            <v>42675</v>
          </cell>
        </row>
        <row r="114">
          <cell r="A114" t="str">
            <v>17680725-3</v>
          </cell>
          <cell r="B114" t="str">
            <v>GIANNECCHINI</v>
          </cell>
          <cell r="C114" t="str">
            <v>ARAVENA</v>
          </cell>
          <cell r="D114" t="str">
            <v>GIANNINA</v>
          </cell>
          <cell r="E114" t="str">
            <v>GIANNINA GIANNECCHINI ARAVENA</v>
          </cell>
          <cell r="F114">
            <v>42697</v>
          </cell>
        </row>
        <row r="115">
          <cell r="A115" t="str">
            <v>15729661-2</v>
          </cell>
          <cell r="B115" t="str">
            <v>GOMEZ</v>
          </cell>
          <cell r="C115" t="str">
            <v>ANABALON</v>
          </cell>
          <cell r="D115" t="str">
            <v>ARIEL</v>
          </cell>
          <cell r="E115" t="str">
            <v>ARIEL GOMEZ ANABALON</v>
          </cell>
          <cell r="F115">
            <v>42192</v>
          </cell>
        </row>
        <row r="116">
          <cell r="A116" t="str">
            <v>17171189-4</v>
          </cell>
          <cell r="B116" t="str">
            <v>GOMEZ</v>
          </cell>
          <cell r="C116" t="str">
            <v>CAMPOS</v>
          </cell>
          <cell r="D116" t="str">
            <v>PATRICIO</v>
          </cell>
          <cell r="E116" t="str">
            <v>PATRICIO GOMEZ CAMPOS</v>
          </cell>
          <cell r="F116">
            <v>43435</v>
          </cell>
        </row>
        <row r="117">
          <cell r="A117" t="str">
            <v>16666225-7</v>
          </cell>
          <cell r="B117" t="str">
            <v>GOMEZ</v>
          </cell>
          <cell r="C117" t="str">
            <v>ESCOBAR</v>
          </cell>
          <cell r="D117" t="str">
            <v>ADOLFO FABRIZIO</v>
          </cell>
          <cell r="E117" t="str">
            <v>ADOLFO FABRIZIO GOMEZ ESCOBAR</v>
          </cell>
          <cell r="F117">
            <v>43626</v>
          </cell>
        </row>
        <row r="118">
          <cell r="A118" t="str">
            <v>15331049-1</v>
          </cell>
          <cell r="B118" t="str">
            <v>GOMEZ</v>
          </cell>
          <cell r="C118" t="str">
            <v>GUZMAN</v>
          </cell>
          <cell r="D118" t="str">
            <v>PAULA</v>
          </cell>
          <cell r="E118" t="str">
            <v>PAULA GOMEZ GUZMAN</v>
          </cell>
          <cell r="F118">
            <v>42998</v>
          </cell>
        </row>
        <row r="119">
          <cell r="A119" t="str">
            <v>17312666-2</v>
          </cell>
          <cell r="B119" t="str">
            <v>GONZALEZ</v>
          </cell>
          <cell r="C119" t="str">
            <v>CARIZ</v>
          </cell>
          <cell r="D119" t="str">
            <v>NICOLE</v>
          </cell>
          <cell r="E119" t="str">
            <v>NICOLE GONZALEZ CARIZ</v>
          </cell>
          <cell r="F119">
            <v>42051</v>
          </cell>
        </row>
        <row r="120">
          <cell r="A120" t="str">
            <v>15477866-7</v>
          </cell>
          <cell r="B120" t="str">
            <v>GONZALEZ</v>
          </cell>
          <cell r="C120" t="str">
            <v>CESPEDE</v>
          </cell>
          <cell r="D120" t="str">
            <v>FABIAN HERNAN</v>
          </cell>
          <cell r="E120" t="str">
            <v>FABIAN HERNAN GONZALEZ CESPEDE</v>
          </cell>
          <cell r="F120">
            <v>43292</v>
          </cell>
        </row>
        <row r="121">
          <cell r="A121" t="str">
            <v>18937657-K</v>
          </cell>
          <cell r="B121" t="str">
            <v>GONZALEZ</v>
          </cell>
          <cell r="C121" t="str">
            <v>CHAMORRO</v>
          </cell>
          <cell r="D121" t="str">
            <v>GABRIELA</v>
          </cell>
          <cell r="E121" t="str">
            <v>GABRIELA GONZALEZ CHAMORRO</v>
          </cell>
          <cell r="F121">
            <v>42736</v>
          </cell>
        </row>
        <row r="122">
          <cell r="A122" t="str">
            <v>15703531-2</v>
          </cell>
          <cell r="B122" t="str">
            <v>GONZALEZ</v>
          </cell>
          <cell r="C122" t="str">
            <v>DIAZ</v>
          </cell>
          <cell r="D122" t="str">
            <v>WLADIMIR MAURICIO</v>
          </cell>
          <cell r="E122" t="str">
            <v>WLADIMIR MAURICIO GONZALEZ DIAZ</v>
          </cell>
          <cell r="F122">
            <v>43563</v>
          </cell>
        </row>
        <row r="123">
          <cell r="A123" t="str">
            <v>17860019-2</v>
          </cell>
          <cell r="B123" t="str">
            <v>GONZALEZ</v>
          </cell>
          <cell r="C123" t="str">
            <v>GONZALEZ</v>
          </cell>
          <cell r="D123" t="str">
            <v>VIOLETTE PAMARA</v>
          </cell>
          <cell r="E123" t="str">
            <v>VIOLETTE PAMARA GONZALEZ GONZALEZ</v>
          </cell>
          <cell r="F123">
            <v>43773</v>
          </cell>
        </row>
        <row r="124">
          <cell r="A124" t="str">
            <v>25249740-4</v>
          </cell>
          <cell r="B124" t="str">
            <v>GONZALEZ</v>
          </cell>
          <cell r="C124" t="str">
            <v>LAREZ</v>
          </cell>
          <cell r="D124" t="str">
            <v>OMAR JESUS</v>
          </cell>
          <cell r="E124" t="str">
            <v>OMAR JESUS GONZALEZ LAREZ</v>
          </cell>
          <cell r="F124">
            <v>43605</v>
          </cell>
        </row>
        <row r="125">
          <cell r="A125" t="str">
            <v>18364042-9</v>
          </cell>
          <cell r="B125" t="str">
            <v>GONZALEZ</v>
          </cell>
          <cell r="C125" t="str">
            <v>MARCHANT</v>
          </cell>
          <cell r="D125" t="str">
            <v>EDUARDO</v>
          </cell>
          <cell r="E125" t="str">
            <v>EDUARDO GONZALEZ MARCHANT</v>
          </cell>
          <cell r="F125">
            <v>42522</v>
          </cell>
        </row>
        <row r="126">
          <cell r="A126" t="str">
            <v>18408449-K</v>
          </cell>
          <cell r="B126" t="str">
            <v>GONZALEZ</v>
          </cell>
          <cell r="C126" t="str">
            <v>MURÚA</v>
          </cell>
          <cell r="D126" t="str">
            <v>AGUSTIN</v>
          </cell>
          <cell r="E126" t="str">
            <v>AGUSTIN GONZALEZ MURÚA</v>
          </cell>
          <cell r="F126">
            <v>42933</v>
          </cell>
        </row>
        <row r="127">
          <cell r="A127" t="str">
            <v>13347557-5</v>
          </cell>
          <cell r="B127" t="str">
            <v>GONZALEZ</v>
          </cell>
          <cell r="C127" t="str">
            <v>RITCHIE</v>
          </cell>
          <cell r="D127" t="str">
            <v>CLAUDIO</v>
          </cell>
          <cell r="E127" t="str">
            <v>CLAUDIO GONZALEZ RITCHIE</v>
          </cell>
          <cell r="F127">
            <v>42491</v>
          </cell>
        </row>
        <row r="128">
          <cell r="A128" t="str">
            <v>18661189-6</v>
          </cell>
          <cell r="B128" t="str">
            <v>GUAJARDO</v>
          </cell>
          <cell r="C128" t="str">
            <v>VALENZUELA</v>
          </cell>
          <cell r="D128" t="str">
            <v>CAROLINA</v>
          </cell>
          <cell r="E128" t="str">
            <v>CAROLINA GUAJARDO VALENZUELA</v>
          </cell>
          <cell r="F128">
            <v>42109</v>
          </cell>
        </row>
        <row r="129">
          <cell r="A129" t="str">
            <v>26283039-k</v>
          </cell>
          <cell r="B129" t="str">
            <v>GUERRERO</v>
          </cell>
          <cell r="C129" t="str">
            <v xml:space="preserve">PARRA </v>
          </cell>
          <cell r="D129" t="str">
            <v>HECTOR LUIS</v>
          </cell>
          <cell r="E129" t="str">
            <v xml:space="preserve">HECTOR LUIS GUERRERO PARRA </v>
          </cell>
          <cell r="F129">
            <v>43617</v>
          </cell>
        </row>
        <row r="130">
          <cell r="A130" t="str">
            <v>26274873-1</v>
          </cell>
          <cell r="B130" t="str">
            <v>GUILLERMO</v>
          </cell>
          <cell r="C130" t="str">
            <v>SOSA</v>
          </cell>
          <cell r="D130" t="str">
            <v>JIMMY ALEX</v>
          </cell>
          <cell r="E130" t="str">
            <v>JIMMY ALEX GUILLERMO SOSA</v>
          </cell>
          <cell r="F130">
            <v>43654</v>
          </cell>
        </row>
        <row r="131">
          <cell r="A131" t="str">
            <v>16662677-3</v>
          </cell>
          <cell r="B131" t="str">
            <v>GUILOFF</v>
          </cell>
          <cell r="C131" t="str">
            <v>SALDAÑA</v>
          </cell>
          <cell r="D131" t="str">
            <v>MARIO</v>
          </cell>
          <cell r="E131" t="str">
            <v>MARIO GUILOFF SALDAÑA</v>
          </cell>
          <cell r="F131">
            <v>42986</v>
          </cell>
        </row>
        <row r="132">
          <cell r="A132" t="str">
            <v>15796897-1</v>
          </cell>
          <cell r="B132" t="str">
            <v>GUTIERREZ</v>
          </cell>
          <cell r="C132" t="str">
            <v>TAPIA</v>
          </cell>
          <cell r="D132" t="str">
            <v>WILLSON ANTONIO</v>
          </cell>
          <cell r="E132" t="str">
            <v>WILLSON ANTONIO GUTIERREZ TAPIA</v>
          </cell>
          <cell r="F132">
            <v>43617</v>
          </cell>
        </row>
        <row r="133">
          <cell r="A133" t="str">
            <v>13954729-2</v>
          </cell>
          <cell r="B133" t="str">
            <v>GUZMAN</v>
          </cell>
          <cell r="C133" t="str">
            <v>CARVAJAL</v>
          </cell>
          <cell r="D133" t="str">
            <v>NATALIA</v>
          </cell>
          <cell r="E133" t="str">
            <v>NATALIA GUZMAN CARVAJAL</v>
          </cell>
          <cell r="F133">
            <v>42772</v>
          </cell>
        </row>
        <row r="134">
          <cell r="A134" t="str">
            <v>13920831-5</v>
          </cell>
          <cell r="B134" t="str">
            <v>GUZMAN</v>
          </cell>
          <cell r="C134" t="str">
            <v>FARIAS</v>
          </cell>
          <cell r="D134" t="str">
            <v>JOSE</v>
          </cell>
          <cell r="E134" t="str">
            <v>JOSE GUZMAN FARIAS</v>
          </cell>
          <cell r="F134">
            <v>42552</v>
          </cell>
        </row>
        <row r="135">
          <cell r="A135" t="str">
            <v>19037017-8</v>
          </cell>
          <cell r="B135" t="str">
            <v>GUZMAN</v>
          </cell>
          <cell r="C135" t="str">
            <v>GALLEGUILLOS</v>
          </cell>
          <cell r="D135" t="str">
            <v>JAVIER</v>
          </cell>
          <cell r="E135" t="str">
            <v>JAVIER GUZMAN GALLEGUILLOS</v>
          </cell>
          <cell r="F135">
            <v>41750</v>
          </cell>
        </row>
        <row r="136">
          <cell r="A136" t="str">
            <v>13283121-1</v>
          </cell>
          <cell r="B136" t="str">
            <v>HERNANDEZ</v>
          </cell>
          <cell r="C136" t="str">
            <v>DIEZ</v>
          </cell>
          <cell r="D136" t="str">
            <v>VERONICA</v>
          </cell>
          <cell r="E136" t="str">
            <v>VERONICA HERNANDEZ DIEZ</v>
          </cell>
          <cell r="F136">
            <v>43354</v>
          </cell>
        </row>
        <row r="137">
          <cell r="A137" t="str">
            <v>26225498-4</v>
          </cell>
          <cell r="B137" t="str">
            <v>HERNANDEZ</v>
          </cell>
          <cell r="C137" t="str">
            <v>RODRIGUEZ</v>
          </cell>
          <cell r="D137" t="str">
            <v>SUYIM ELENA</v>
          </cell>
          <cell r="E137" t="str">
            <v>SUYIM ELENA HERNANDEZ RODRIGUEZ</v>
          </cell>
          <cell r="F137">
            <v>43601</v>
          </cell>
        </row>
        <row r="138">
          <cell r="A138" t="str">
            <v>17575347-8</v>
          </cell>
          <cell r="B138" t="str">
            <v>HERRERA</v>
          </cell>
          <cell r="C138" t="str">
            <v>JAVIA</v>
          </cell>
          <cell r="D138" t="str">
            <v>NICOLE</v>
          </cell>
          <cell r="E138" t="str">
            <v>NICOLE HERRERA JAVIA</v>
          </cell>
          <cell r="F138">
            <v>42633</v>
          </cell>
        </row>
        <row r="139">
          <cell r="A139" t="str">
            <v>25806403-8</v>
          </cell>
          <cell r="B139" t="str">
            <v>HERRERA</v>
          </cell>
          <cell r="C139" t="str">
            <v>MUÑOZ</v>
          </cell>
          <cell r="D139" t="str">
            <v>YAILETH DEL VALLE</v>
          </cell>
          <cell r="E139" t="str">
            <v>YAILETH DEL VALLE HERRERA MUÑOZ</v>
          </cell>
          <cell r="F139">
            <v>43782</v>
          </cell>
        </row>
        <row r="140">
          <cell r="A140" t="str">
            <v>16643600-1</v>
          </cell>
          <cell r="B140" t="str">
            <v>HIDALGO</v>
          </cell>
          <cell r="C140" t="str">
            <v>ORTIZ</v>
          </cell>
          <cell r="D140" t="str">
            <v>JENNIFER</v>
          </cell>
          <cell r="E140" t="str">
            <v>JENNIFER HIDALGO ORTIZ</v>
          </cell>
          <cell r="F140">
            <v>42926</v>
          </cell>
        </row>
        <row r="141">
          <cell r="A141" t="str">
            <v>18921338-7</v>
          </cell>
          <cell r="B141" t="str">
            <v>HUECHE</v>
          </cell>
          <cell r="C141" t="str">
            <v>URRUTIA</v>
          </cell>
          <cell r="D141" t="str">
            <v>DOMINIQUE</v>
          </cell>
          <cell r="E141" t="str">
            <v>DOMINIQUE HUECHE URRUTIA</v>
          </cell>
          <cell r="F141">
            <v>42968</v>
          </cell>
        </row>
        <row r="142">
          <cell r="A142" t="str">
            <v>16412068-6</v>
          </cell>
          <cell r="B142" t="str">
            <v>HUERTA</v>
          </cell>
          <cell r="C142" t="str">
            <v>ABARCA</v>
          </cell>
          <cell r="D142" t="str">
            <v>JOSÉ</v>
          </cell>
          <cell r="E142" t="str">
            <v>JOSÉ HUERTA ABARCA</v>
          </cell>
          <cell r="F142">
            <v>43073</v>
          </cell>
        </row>
        <row r="143">
          <cell r="A143" t="str">
            <v>18082687-4</v>
          </cell>
          <cell r="B143" t="str">
            <v>HUERTA</v>
          </cell>
          <cell r="C143" t="str">
            <v>NEUMAN</v>
          </cell>
          <cell r="D143" t="str">
            <v>TAMARA</v>
          </cell>
          <cell r="E143" t="str">
            <v>TAMARA HUERTA NEUMAN</v>
          </cell>
          <cell r="F143">
            <v>42982</v>
          </cell>
        </row>
        <row r="144">
          <cell r="A144" t="str">
            <v>23751890-k</v>
          </cell>
          <cell r="B144" t="str">
            <v>IANNICELLI</v>
          </cell>
          <cell r="C144" t="str">
            <v>.</v>
          </cell>
          <cell r="D144" t="str">
            <v>LUCIANO DAMIAN</v>
          </cell>
          <cell r="E144" t="str">
            <v>LUCIANO DAMIAN IANNICELLI .</v>
          </cell>
          <cell r="F144">
            <v>43648</v>
          </cell>
        </row>
        <row r="145">
          <cell r="A145" t="str">
            <v>19283875-4</v>
          </cell>
          <cell r="B145" t="str">
            <v>INZUNZA</v>
          </cell>
          <cell r="C145" t="str">
            <v>FIGUEROA</v>
          </cell>
          <cell r="D145" t="str">
            <v>FERNANDA</v>
          </cell>
          <cell r="E145" t="str">
            <v>FERNANDA INZUNZA FIGUEROA</v>
          </cell>
          <cell r="F145">
            <v>42591</v>
          </cell>
        </row>
        <row r="146">
          <cell r="A146" t="str">
            <v>17837210-6</v>
          </cell>
          <cell r="B146" t="str">
            <v>IRRIBARRA</v>
          </cell>
          <cell r="C146" t="str">
            <v>BETANZO</v>
          </cell>
          <cell r="D146" t="str">
            <v>PAULINA ANDREA</v>
          </cell>
          <cell r="E146" t="str">
            <v>PAULINA ANDREA IRRIBARRA BETANZO</v>
          </cell>
          <cell r="F146">
            <v>43700</v>
          </cell>
        </row>
        <row r="147">
          <cell r="A147" t="str">
            <v>16100341-7</v>
          </cell>
          <cell r="B147" t="str">
            <v>JARAMILLO</v>
          </cell>
          <cell r="C147" t="str">
            <v>ROSSELOT</v>
          </cell>
          <cell r="D147" t="str">
            <v xml:space="preserve">MARTINA </v>
          </cell>
          <cell r="E147" t="str">
            <v>MARTINA  JARAMILLO ROSSELOT</v>
          </cell>
          <cell r="F147">
            <v>43655</v>
          </cell>
        </row>
        <row r="148">
          <cell r="A148" t="str">
            <v>13248036-2</v>
          </cell>
          <cell r="B148" t="str">
            <v>JARAMILLO</v>
          </cell>
          <cell r="C148" t="str">
            <v>SEPULVEDA</v>
          </cell>
          <cell r="D148" t="str">
            <v>ADRIAN</v>
          </cell>
          <cell r="E148" t="str">
            <v>ADRIAN JARAMILLO SEPULVEDA</v>
          </cell>
          <cell r="F148">
            <v>42457</v>
          </cell>
        </row>
        <row r="149">
          <cell r="A149" t="str">
            <v>13454355-8</v>
          </cell>
          <cell r="B149" t="str">
            <v>JORDAN</v>
          </cell>
          <cell r="C149" t="str">
            <v>CASTRO</v>
          </cell>
          <cell r="D149" t="str">
            <v>DANIEL</v>
          </cell>
          <cell r="E149" t="str">
            <v>DANIEL JORDAN CASTRO</v>
          </cell>
          <cell r="F149">
            <v>43221</v>
          </cell>
        </row>
        <row r="150">
          <cell r="A150" t="str">
            <v>17338790-3</v>
          </cell>
          <cell r="B150" t="str">
            <v>LAGOS</v>
          </cell>
          <cell r="C150" t="str">
            <v>ROSALES</v>
          </cell>
          <cell r="D150" t="str">
            <v>EDUARDO ALFREDO</v>
          </cell>
          <cell r="E150" t="str">
            <v>EDUARDO ALFREDO LAGOS ROSALES</v>
          </cell>
          <cell r="F150">
            <v>43678</v>
          </cell>
        </row>
        <row r="151">
          <cell r="A151" t="str">
            <v>16356092-5</v>
          </cell>
          <cell r="B151" t="str">
            <v>LAPIERRE</v>
          </cell>
          <cell r="C151" t="str">
            <v>ACUÑA</v>
          </cell>
          <cell r="D151" t="str">
            <v>OSCAR</v>
          </cell>
          <cell r="E151" t="str">
            <v>OSCAR LAPIERRE ACUÑA</v>
          </cell>
          <cell r="F151">
            <v>41044</v>
          </cell>
        </row>
        <row r="152">
          <cell r="A152" t="str">
            <v>15635962-9</v>
          </cell>
          <cell r="B152" t="str">
            <v>LAVANDERO</v>
          </cell>
          <cell r="C152" t="str">
            <v>RISOPATRON</v>
          </cell>
          <cell r="D152" t="str">
            <v>DIEGO</v>
          </cell>
          <cell r="E152" t="str">
            <v>DIEGO LAVANDERO RISOPATRON</v>
          </cell>
          <cell r="F152">
            <v>43299</v>
          </cell>
        </row>
        <row r="153">
          <cell r="A153" t="str">
            <v>15749640-9</v>
          </cell>
          <cell r="B153" t="str">
            <v>LAZO</v>
          </cell>
          <cell r="C153" t="str">
            <v>HERMOSILLA</v>
          </cell>
          <cell r="D153" t="str">
            <v>PAULA</v>
          </cell>
          <cell r="E153" t="str">
            <v>PAULA LAZO HERMOSILLA</v>
          </cell>
          <cell r="F153">
            <v>43052</v>
          </cell>
        </row>
        <row r="154">
          <cell r="A154" t="str">
            <v>19421268-2</v>
          </cell>
          <cell r="B154" t="str">
            <v>LAZO</v>
          </cell>
          <cell r="C154" t="str">
            <v>HERMOSILLA</v>
          </cell>
          <cell r="D154" t="str">
            <v>SOFIA</v>
          </cell>
          <cell r="E154" t="str">
            <v>SOFIA LAZO HERMOSILLA</v>
          </cell>
          <cell r="F154">
            <v>43122</v>
          </cell>
        </row>
        <row r="155">
          <cell r="A155" t="str">
            <v>13716798-0</v>
          </cell>
          <cell r="B155" t="str">
            <v>LEIVA</v>
          </cell>
          <cell r="C155" t="str">
            <v>MARCHANT</v>
          </cell>
          <cell r="D155" t="str">
            <v>KAREN</v>
          </cell>
          <cell r="E155" t="str">
            <v>KAREN LEIVA MARCHANT</v>
          </cell>
          <cell r="F155">
            <v>37970</v>
          </cell>
        </row>
        <row r="156">
          <cell r="A156" t="str">
            <v>16474591-0</v>
          </cell>
          <cell r="B156" t="str">
            <v>LEON</v>
          </cell>
          <cell r="C156" t="str">
            <v>CANALES</v>
          </cell>
          <cell r="D156" t="str">
            <v>JOSSUNE</v>
          </cell>
          <cell r="E156" t="str">
            <v>JOSSUNE LEON CANALES</v>
          </cell>
          <cell r="F156">
            <v>43122</v>
          </cell>
        </row>
        <row r="157">
          <cell r="A157" t="str">
            <v>18454622-1</v>
          </cell>
          <cell r="B157" t="str">
            <v>LEON</v>
          </cell>
          <cell r="C157" t="str">
            <v>GATICA</v>
          </cell>
          <cell r="D157" t="str">
            <v>CONSTANZA LORENA</v>
          </cell>
          <cell r="E157" t="str">
            <v>CONSTANZA LORENA LEON GATICA</v>
          </cell>
          <cell r="F157">
            <v>43717</v>
          </cell>
        </row>
        <row r="158">
          <cell r="A158" t="str">
            <v>15399893-0</v>
          </cell>
          <cell r="B158" t="str">
            <v xml:space="preserve">LEPE </v>
          </cell>
          <cell r="C158" t="str">
            <v>OCARANZA</v>
          </cell>
          <cell r="D158" t="str">
            <v>IRMA ANDREA</v>
          </cell>
          <cell r="E158" t="str">
            <v>IRMA ANDREA LEPE  OCARANZA</v>
          </cell>
          <cell r="F158">
            <v>43444</v>
          </cell>
        </row>
        <row r="159">
          <cell r="A159" t="str">
            <v>24487223-9</v>
          </cell>
          <cell r="B159" t="str">
            <v>LESMES</v>
          </cell>
          <cell r="C159" t="str">
            <v>PEÑA</v>
          </cell>
          <cell r="D159" t="str">
            <v>MARIA FERNANDA</v>
          </cell>
          <cell r="E159" t="str">
            <v>MARIA FERNANDA LESMES PEÑA</v>
          </cell>
          <cell r="F159">
            <v>43780</v>
          </cell>
        </row>
        <row r="160">
          <cell r="A160" t="str">
            <v>17953544-0</v>
          </cell>
          <cell r="B160" t="str">
            <v>LIZANA</v>
          </cell>
          <cell r="C160" t="str">
            <v>SALINAS</v>
          </cell>
          <cell r="D160" t="str">
            <v>ANGELO</v>
          </cell>
          <cell r="E160" t="str">
            <v>ANGELO LIZANA SALINAS</v>
          </cell>
          <cell r="F160">
            <v>42494</v>
          </cell>
        </row>
        <row r="161">
          <cell r="A161" t="str">
            <v>23413544-9</v>
          </cell>
          <cell r="B161" t="str">
            <v>LOPEZ</v>
          </cell>
          <cell r="C161" t="str">
            <v>ALAYON</v>
          </cell>
          <cell r="D161" t="str">
            <v>KEILY</v>
          </cell>
          <cell r="E161" t="str">
            <v>KEILY LOPEZ ALAYON</v>
          </cell>
          <cell r="F161">
            <v>43336</v>
          </cell>
        </row>
        <row r="162">
          <cell r="A162" t="str">
            <v>18327887-8</v>
          </cell>
          <cell r="B162" t="str">
            <v>LOPEZ</v>
          </cell>
          <cell r="C162" t="str">
            <v>MUÑOZ</v>
          </cell>
          <cell r="D162" t="str">
            <v>MICHELL</v>
          </cell>
          <cell r="E162" t="str">
            <v>MICHELL LOPEZ MUÑOZ</v>
          </cell>
          <cell r="F162">
            <v>42648</v>
          </cell>
        </row>
        <row r="163">
          <cell r="A163" t="str">
            <v>14475092-6</v>
          </cell>
          <cell r="B163" t="str">
            <v>LUBASCHER</v>
          </cell>
          <cell r="C163" t="str">
            <v>RAMÍREZ</v>
          </cell>
          <cell r="D163" t="str">
            <v>RAFAEL IGNACIO</v>
          </cell>
          <cell r="E163" t="str">
            <v>RAFAEL IGNACIO LUBASCHER RAMÍREZ</v>
          </cell>
          <cell r="F163">
            <v>43508</v>
          </cell>
        </row>
        <row r="164">
          <cell r="A164" t="str">
            <v>12459532-0</v>
          </cell>
          <cell r="B164" t="str">
            <v>LULION</v>
          </cell>
          <cell r="C164" t="str">
            <v>ESPINOZA</v>
          </cell>
          <cell r="D164" t="str">
            <v>ANGÉLICA</v>
          </cell>
          <cell r="E164" t="str">
            <v>ANGÉLICA LULION ESPINOZA</v>
          </cell>
          <cell r="F164">
            <v>43166</v>
          </cell>
        </row>
        <row r="165">
          <cell r="A165" t="str">
            <v>8791413-5</v>
          </cell>
          <cell r="B165" t="str">
            <v>LUPO</v>
          </cell>
          <cell r="C165" t="str">
            <v>VELASCO</v>
          </cell>
          <cell r="D165" t="str">
            <v>SUSANA</v>
          </cell>
          <cell r="E165" t="str">
            <v>SUSANA LUPO VELASCO</v>
          </cell>
          <cell r="F165">
            <v>36982</v>
          </cell>
        </row>
        <row r="166">
          <cell r="A166" t="str">
            <v>25907063-5</v>
          </cell>
          <cell r="B166" t="str">
            <v>MACHADO</v>
          </cell>
          <cell r="C166" t="str">
            <v>MOLINA</v>
          </cell>
          <cell r="D166" t="str">
            <v>MARILYN</v>
          </cell>
          <cell r="E166" t="str">
            <v>MARILYN MACHADO MOLINA</v>
          </cell>
          <cell r="F166">
            <v>42979</v>
          </cell>
        </row>
        <row r="167">
          <cell r="A167" t="str">
            <v>18284773-9</v>
          </cell>
          <cell r="B167" t="str">
            <v>MADARIAGA</v>
          </cell>
          <cell r="C167" t="str">
            <v>PARRAGUEZ</v>
          </cell>
          <cell r="D167" t="str">
            <v>INGRID</v>
          </cell>
          <cell r="E167" t="str">
            <v>INGRID MADARIAGA PARRAGUEZ</v>
          </cell>
          <cell r="F167">
            <v>43122</v>
          </cell>
        </row>
        <row r="168">
          <cell r="A168" t="str">
            <v>11847125-3</v>
          </cell>
          <cell r="B168" t="str">
            <v>MAHAVE</v>
          </cell>
          <cell r="C168" t="str">
            <v>CACERES</v>
          </cell>
          <cell r="D168" t="str">
            <v>MARCOS</v>
          </cell>
          <cell r="E168" t="str">
            <v>MARCOS MAHAVE CACERES</v>
          </cell>
          <cell r="F168">
            <v>37347</v>
          </cell>
        </row>
        <row r="169">
          <cell r="A169" t="str">
            <v>8546854-5</v>
          </cell>
          <cell r="B169" t="str">
            <v>MAHAVE</v>
          </cell>
          <cell r="C169" t="str">
            <v>VEGLIA</v>
          </cell>
          <cell r="D169" t="str">
            <v>ROBERTO</v>
          </cell>
          <cell r="E169" t="str">
            <v>ROBERTO MAHAVE VEGLIA</v>
          </cell>
          <cell r="F169">
            <v>42430</v>
          </cell>
        </row>
        <row r="170">
          <cell r="A170" t="str">
            <v>18088398-3</v>
          </cell>
          <cell r="B170" t="str">
            <v>MALDONADO</v>
          </cell>
          <cell r="C170" t="str">
            <v>ARAYA</v>
          </cell>
          <cell r="D170" t="str">
            <v>JORGE</v>
          </cell>
          <cell r="E170" t="str">
            <v>JORGE MALDONADO ARAYA</v>
          </cell>
          <cell r="F170">
            <v>42661</v>
          </cell>
        </row>
        <row r="171">
          <cell r="A171" t="str">
            <v>13087678-1</v>
          </cell>
          <cell r="B171" t="str">
            <v>MARCHANT</v>
          </cell>
          <cell r="C171" t="str">
            <v>DIAZ</v>
          </cell>
          <cell r="D171" t="str">
            <v>GEMA</v>
          </cell>
          <cell r="E171" t="str">
            <v>GEMA MARCHANT DIAZ</v>
          </cell>
          <cell r="F171">
            <v>43335</v>
          </cell>
        </row>
        <row r="172">
          <cell r="A172" t="str">
            <v>16476903-8</v>
          </cell>
          <cell r="B172" t="str">
            <v>MARCHANT</v>
          </cell>
          <cell r="C172" t="str">
            <v>ROJAS</v>
          </cell>
          <cell r="D172" t="str">
            <v>LESLIE</v>
          </cell>
          <cell r="E172" t="str">
            <v>LESLIE MARCHANT ROJAS</v>
          </cell>
          <cell r="F172">
            <v>43231</v>
          </cell>
        </row>
        <row r="173">
          <cell r="A173" t="str">
            <v>17841233-7</v>
          </cell>
          <cell r="B173" t="str">
            <v>MARTI</v>
          </cell>
          <cell r="C173" t="str">
            <v>MARTI</v>
          </cell>
          <cell r="D173" t="str">
            <v>JOSE</v>
          </cell>
          <cell r="E173" t="str">
            <v>JOSE MARTI MARTI</v>
          </cell>
          <cell r="F173">
            <v>43313</v>
          </cell>
        </row>
        <row r="174">
          <cell r="A174" t="str">
            <v>17808217-5</v>
          </cell>
          <cell r="B174" t="str">
            <v>MARTINEZ</v>
          </cell>
          <cell r="C174" t="str">
            <v>CHACANA</v>
          </cell>
          <cell r="D174" t="str">
            <v>JOSE</v>
          </cell>
          <cell r="E174" t="str">
            <v>JOSE MARTINEZ CHACANA</v>
          </cell>
          <cell r="F174">
            <v>42487</v>
          </cell>
        </row>
        <row r="175">
          <cell r="A175" t="str">
            <v>25218180-6</v>
          </cell>
          <cell r="B175" t="str">
            <v xml:space="preserve">MARTINEZ </v>
          </cell>
          <cell r="C175" t="str">
            <v>LUGO</v>
          </cell>
          <cell r="D175" t="str">
            <v>JAIDEN DABITZO</v>
          </cell>
          <cell r="E175" t="str">
            <v>JAIDEN DABITZO MARTINEZ  LUGO</v>
          </cell>
          <cell r="F175">
            <v>43647</v>
          </cell>
        </row>
        <row r="176">
          <cell r="A176" t="str">
            <v>10641989-2</v>
          </cell>
          <cell r="B176" t="str">
            <v>MASCARO</v>
          </cell>
          <cell r="C176" t="str">
            <v>NAVARRETE</v>
          </cell>
          <cell r="D176" t="str">
            <v>GUILLAUME L</v>
          </cell>
          <cell r="E176" t="str">
            <v>GUILLAUME L MASCARO NAVARRETE</v>
          </cell>
          <cell r="F176">
            <v>43544</v>
          </cell>
        </row>
        <row r="177">
          <cell r="A177" t="str">
            <v>17680398-3</v>
          </cell>
          <cell r="B177" t="str">
            <v>MECIAS</v>
          </cell>
          <cell r="C177" t="str">
            <v>LIRA</v>
          </cell>
          <cell r="D177" t="str">
            <v>CARLOS</v>
          </cell>
          <cell r="E177" t="str">
            <v>CARLOS MECIAS LIRA</v>
          </cell>
          <cell r="F177">
            <v>41687</v>
          </cell>
        </row>
        <row r="178">
          <cell r="A178" t="str">
            <v>15234095-8</v>
          </cell>
          <cell r="B178" t="str">
            <v>MELLA</v>
          </cell>
          <cell r="C178" t="str">
            <v>LILLO</v>
          </cell>
          <cell r="D178" t="str">
            <v>RODYT ALEXI</v>
          </cell>
          <cell r="E178" t="str">
            <v>RODYT ALEXI MELLA LILLO</v>
          </cell>
          <cell r="F178">
            <v>43789</v>
          </cell>
        </row>
        <row r="179">
          <cell r="A179" t="str">
            <v>5789584-5</v>
          </cell>
          <cell r="B179" t="str">
            <v>MELLA</v>
          </cell>
          <cell r="C179" t="str">
            <v>SILVA</v>
          </cell>
          <cell r="D179" t="str">
            <v>JOSE ARTURO</v>
          </cell>
          <cell r="E179" t="str">
            <v>JOSE ARTURO MELLA SILVA</v>
          </cell>
          <cell r="F179">
            <v>42492</v>
          </cell>
        </row>
        <row r="180">
          <cell r="A180" t="str">
            <v>26357451-6</v>
          </cell>
          <cell r="B180" t="str">
            <v>MENDEZ</v>
          </cell>
          <cell r="C180" t="str">
            <v>MONTOYA</v>
          </cell>
          <cell r="D180" t="str">
            <v>ELIBETH ANDREA</v>
          </cell>
          <cell r="E180" t="str">
            <v>ELIBETH ANDREA MENDEZ MONTOYA</v>
          </cell>
          <cell r="F180">
            <v>43487</v>
          </cell>
        </row>
        <row r="181">
          <cell r="A181" t="str">
            <v>16629113-5</v>
          </cell>
          <cell r="B181" t="str">
            <v>MENESES</v>
          </cell>
          <cell r="C181" t="str">
            <v>MIRANDA</v>
          </cell>
          <cell r="D181" t="str">
            <v>PATRICIO</v>
          </cell>
          <cell r="E181" t="str">
            <v>PATRICIO MENESES MIRANDA</v>
          </cell>
          <cell r="F181">
            <v>43070</v>
          </cell>
        </row>
        <row r="182">
          <cell r="A182" t="str">
            <v>19033669-7</v>
          </cell>
          <cell r="B182" t="str">
            <v>MENDOZA</v>
          </cell>
          <cell r="C182" t="str">
            <v>QUILODRAN</v>
          </cell>
          <cell r="D182" t="str">
            <v>DIEGO ANTONIO</v>
          </cell>
          <cell r="E182" t="str">
            <v>DIEGO ANTONIO MENDOZA QUILODRAN</v>
          </cell>
          <cell r="F182">
            <v>43647</v>
          </cell>
        </row>
        <row r="183">
          <cell r="A183" t="str">
            <v>18537248-0</v>
          </cell>
          <cell r="B183" t="str">
            <v>MERILLU</v>
          </cell>
          <cell r="C183" t="str">
            <v>GONZALEZ</v>
          </cell>
          <cell r="D183" t="str">
            <v>ALEXIS</v>
          </cell>
          <cell r="E183" t="str">
            <v>ALEXIS MERILLU GONZALEZ</v>
          </cell>
          <cell r="F183">
            <v>42843</v>
          </cell>
        </row>
        <row r="184">
          <cell r="A184" t="str">
            <v>17645885-2</v>
          </cell>
          <cell r="B184" t="str">
            <v>MERUANE</v>
          </cell>
          <cell r="C184" t="str">
            <v>MERUANE</v>
          </cell>
          <cell r="D184" t="str">
            <v>SEBASTIAN</v>
          </cell>
          <cell r="E184" t="str">
            <v>SEBASTIAN MERUANE MERUANE</v>
          </cell>
          <cell r="F184">
            <v>43164</v>
          </cell>
        </row>
        <row r="185">
          <cell r="A185" t="str">
            <v>17961988-1</v>
          </cell>
          <cell r="B185" t="str">
            <v>MILLAN</v>
          </cell>
          <cell r="C185" t="str">
            <v>MARTINEZ</v>
          </cell>
          <cell r="D185" t="str">
            <v>SEBASTIAN</v>
          </cell>
          <cell r="E185" t="str">
            <v>SEBASTIAN MILLAN MARTINEZ</v>
          </cell>
          <cell r="F185">
            <v>42926</v>
          </cell>
        </row>
        <row r="186">
          <cell r="A186" t="str">
            <v>16950617-5</v>
          </cell>
          <cell r="B186" t="str">
            <v>MOLINA</v>
          </cell>
          <cell r="C186" t="str">
            <v>DURÁN</v>
          </cell>
          <cell r="D186" t="str">
            <v>CESAR</v>
          </cell>
          <cell r="E186" t="str">
            <v>CESAR MOLINA DURÁN</v>
          </cell>
          <cell r="F186">
            <v>43180</v>
          </cell>
        </row>
        <row r="187">
          <cell r="A187" t="str">
            <v>16872224-9</v>
          </cell>
          <cell r="B187" t="str">
            <v>MONSALVE</v>
          </cell>
          <cell r="C187" t="str">
            <v>GODOY</v>
          </cell>
          <cell r="D187" t="str">
            <v>REBECA</v>
          </cell>
          <cell r="E187" t="str">
            <v>REBECA MONSALVE GODOY</v>
          </cell>
          <cell r="F187">
            <v>43221</v>
          </cell>
        </row>
        <row r="188">
          <cell r="A188" t="str">
            <v>10863064-7</v>
          </cell>
          <cell r="B188" t="str">
            <v>MONSALVEZ</v>
          </cell>
          <cell r="C188" t="str">
            <v>ARANEDA</v>
          </cell>
          <cell r="D188" t="str">
            <v>GUILLERMINA LISETTE DE JES</v>
          </cell>
          <cell r="E188" t="str">
            <v>GUILLERMINA LISETTE DE JES MONSALVEZ ARANEDA</v>
          </cell>
          <cell r="F188">
            <v>43647</v>
          </cell>
        </row>
        <row r="189">
          <cell r="A189" t="str">
            <v>16657859-0</v>
          </cell>
          <cell r="B189" t="str">
            <v>MONTECINOS</v>
          </cell>
          <cell r="C189" t="str">
            <v>ANTERO</v>
          </cell>
          <cell r="D189" t="str">
            <v>RAUL</v>
          </cell>
          <cell r="E189" t="str">
            <v>RAUL MONTECINOS ANTERO</v>
          </cell>
          <cell r="F189">
            <v>43122</v>
          </cell>
        </row>
        <row r="190">
          <cell r="A190" t="str">
            <v>17721206-7</v>
          </cell>
          <cell r="B190" t="str">
            <v>MORALES</v>
          </cell>
          <cell r="C190" t="str">
            <v>CORTES</v>
          </cell>
          <cell r="D190" t="str">
            <v>MACARENA</v>
          </cell>
          <cell r="E190" t="str">
            <v>MACARENA MORALES CORTES</v>
          </cell>
          <cell r="F190">
            <v>42408</v>
          </cell>
        </row>
        <row r="191">
          <cell r="A191" t="str">
            <v>16536622-0</v>
          </cell>
          <cell r="B191" t="str">
            <v>MOSQUEIRA</v>
          </cell>
          <cell r="C191" t="str">
            <v>MARQUEZ</v>
          </cell>
          <cell r="D191" t="str">
            <v>ZULEMA</v>
          </cell>
          <cell r="E191" t="str">
            <v>ZULEMA MOSQUEIRA MARQUEZ</v>
          </cell>
          <cell r="F191">
            <v>42877</v>
          </cell>
        </row>
        <row r="192">
          <cell r="A192" t="str">
            <v>17374992-9</v>
          </cell>
          <cell r="B192" t="str">
            <v>MUÑOZ</v>
          </cell>
          <cell r="C192" t="str">
            <v>ALDAY</v>
          </cell>
          <cell r="D192" t="str">
            <v>FREDERICH WLADIMIR</v>
          </cell>
          <cell r="E192" t="str">
            <v>FREDERICH WLADIMIR MUÑOZ ALDAY</v>
          </cell>
          <cell r="F192">
            <v>43739</v>
          </cell>
        </row>
        <row r="193">
          <cell r="A193" t="str">
            <v>13904678-1</v>
          </cell>
          <cell r="B193" t="str">
            <v>MUÑOZ</v>
          </cell>
          <cell r="C193" t="str">
            <v>FUENTES</v>
          </cell>
          <cell r="D193" t="str">
            <v>DAVID</v>
          </cell>
          <cell r="E193" t="str">
            <v>DAVID MUÑOZ FUENTES</v>
          </cell>
          <cell r="F193">
            <v>43348</v>
          </cell>
        </row>
        <row r="194">
          <cell r="A194" t="str">
            <v>13078109-8</v>
          </cell>
          <cell r="B194" t="str">
            <v>MUÑOZ</v>
          </cell>
          <cell r="C194" t="str">
            <v>HIDALGO</v>
          </cell>
          <cell r="D194" t="str">
            <v>JUAN</v>
          </cell>
          <cell r="E194" t="str">
            <v>JUAN MUÑOZ HIDALGO</v>
          </cell>
          <cell r="F194">
            <v>43405</v>
          </cell>
        </row>
        <row r="195">
          <cell r="A195" t="str">
            <v>18929576-6</v>
          </cell>
          <cell r="B195" t="str">
            <v>MUÑOZ</v>
          </cell>
          <cell r="C195" t="str">
            <v>SANFURGO</v>
          </cell>
          <cell r="D195" t="str">
            <v>PIA</v>
          </cell>
          <cell r="E195" t="str">
            <v>PIA MUÑOZ SANFURGO</v>
          </cell>
          <cell r="F195">
            <v>42982</v>
          </cell>
        </row>
        <row r="196">
          <cell r="A196" t="str">
            <v>18611129-K</v>
          </cell>
          <cell r="B196" t="str">
            <v>MUÑOZ</v>
          </cell>
          <cell r="C196" t="str">
            <v>TOBAR</v>
          </cell>
          <cell r="D196" t="str">
            <v>DEBORA</v>
          </cell>
          <cell r="E196" t="str">
            <v>DEBORA MUÑOZ TOBAR</v>
          </cell>
          <cell r="F196">
            <v>43160</v>
          </cell>
        </row>
        <row r="197">
          <cell r="A197" t="str">
            <v>16285808-4</v>
          </cell>
          <cell r="B197" t="str">
            <v>NEWMAN</v>
          </cell>
          <cell r="C197" t="str">
            <v>CARRILLO</v>
          </cell>
          <cell r="D197" t="str">
            <v>KAROL NICOLE</v>
          </cell>
          <cell r="E197" t="str">
            <v>KAROL NICOLE NEWMAN CARRILLO</v>
          </cell>
          <cell r="F197">
            <v>43542</v>
          </cell>
        </row>
        <row r="198">
          <cell r="A198" t="str">
            <v>18025544-3</v>
          </cell>
          <cell r="B198" t="str">
            <v>NUÑEZ</v>
          </cell>
          <cell r="C198" t="str">
            <v>CASTILLO</v>
          </cell>
          <cell r="D198" t="str">
            <v>CONSUELO</v>
          </cell>
          <cell r="E198" t="str">
            <v>CONSUELO NUÑEZ CASTILLO</v>
          </cell>
          <cell r="F198">
            <v>43021</v>
          </cell>
        </row>
        <row r="199">
          <cell r="A199" t="str">
            <v>16485311-K</v>
          </cell>
          <cell r="B199" t="str">
            <v>NUÑEZ</v>
          </cell>
          <cell r="C199" t="str">
            <v>JIRALDO</v>
          </cell>
          <cell r="D199" t="str">
            <v>MAINER</v>
          </cell>
          <cell r="E199" t="str">
            <v>MAINER NUÑEZ JIRALDO</v>
          </cell>
          <cell r="F199">
            <v>42979</v>
          </cell>
        </row>
        <row r="200">
          <cell r="A200" t="str">
            <v>15048876-1</v>
          </cell>
          <cell r="B200" t="str">
            <v>OLIVARES</v>
          </cell>
          <cell r="C200" t="str">
            <v>HERRERA</v>
          </cell>
          <cell r="D200" t="str">
            <v>DEBORA</v>
          </cell>
          <cell r="E200" t="str">
            <v>DEBORA OLIVARES HERRERA</v>
          </cell>
          <cell r="F200">
            <v>41218</v>
          </cell>
        </row>
        <row r="201">
          <cell r="A201" t="str">
            <v>12513730-k</v>
          </cell>
          <cell r="B201" t="str">
            <v>OLIVARES</v>
          </cell>
          <cell r="C201" t="str">
            <v>GUERRERO</v>
          </cell>
          <cell r="D201" t="str">
            <v>CRISTINA SOLEDAD</v>
          </cell>
          <cell r="E201" t="str">
            <v>CRISTINA SOLEDAD OLIVARES GUERRERO</v>
          </cell>
          <cell r="F201">
            <v>43762</v>
          </cell>
        </row>
        <row r="202">
          <cell r="A202" t="str">
            <v>13840461-7</v>
          </cell>
          <cell r="B202" t="str">
            <v>OLIVARES</v>
          </cell>
          <cell r="C202" t="str">
            <v>RAMÍREZ</v>
          </cell>
          <cell r="D202" t="str">
            <v>JAVIER</v>
          </cell>
          <cell r="E202" t="str">
            <v>JAVIER OLIVARES RAMÍREZ</v>
          </cell>
          <cell r="F202">
            <v>43272</v>
          </cell>
        </row>
        <row r="203">
          <cell r="A203" t="str">
            <v>25387905-K</v>
          </cell>
          <cell r="B203" t="str">
            <v>OLMOS</v>
          </cell>
          <cell r="C203" t="str">
            <v>RUIZ</v>
          </cell>
          <cell r="D203" t="str">
            <v>FABIAN</v>
          </cell>
          <cell r="E203" t="str">
            <v>FABIAN OLMOS RUIZ</v>
          </cell>
          <cell r="F203">
            <v>42736</v>
          </cell>
        </row>
        <row r="204">
          <cell r="A204" t="str">
            <v>22918075-4</v>
          </cell>
          <cell r="B204" t="str">
            <v>ORDAZ</v>
          </cell>
          <cell r="C204" t="str">
            <v>MATUS</v>
          </cell>
          <cell r="D204" t="str">
            <v>RICARDO</v>
          </cell>
          <cell r="E204" t="str">
            <v>RICARDO ORDAZ MATUS</v>
          </cell>
          <cell r="F204">
            <v>43242</v>
          </cell>
        </row>
        <row r="205">
          <cell r="A205" t="str">
            <v>18057101-9</v>
          </cell>
          <cell r="B205" t="str">
            <v>PALACIOS</v>
          </cell>
          <cell r="C205" t="str">
            <v>ESPINOZA</v>
          </cell>
          <cell r="D205" t="str">
            <v>DANIELA</v>
          </cell>
          <cell r="E205" t="str">
            <v>DANIELA PALACIOS ESPINOZA</v>
          </cell>
          <cell r="F205">
            <v>42135</v>
          </cell>
        </row>
        <row r="206">
          <cell r="A206" t="str">
            <v>26384666-4</v>
          </cell>
          <cell r="B206" t="str">
            <v>PALACIOS</v>
          </cell>
          <cell r="C206" t="str">
            <v>GUEVARA</v>
          </cell>
          <cell r="D206" t="str">
            <v>FRANKEYLLY</v>
          </cell>
          <cell r="E206" t="str">
            <v>FRANKEYLLY PALACIOS GUEVARA</v>
          </cell>
          <cell r="F206">
            <v>43349</v>
          </cell>
        </row>
        <row r="207">
          <cell r="A207" t="str">
            <v>17672212-6</v>
          </cell>
          <cell r="B207" t="str">
            <v>PALAVECINO</v>
          </cell>
          <cell r="C207" t="str">
            <v>PARDO</v>
          </cell>
          <cell r="D207" t="str">
            <v>NAZKA</v>
          </cell>
          <cell r="E207" t="str">
            <v>NAZKA PALAVECINO PARDO</v>
          </cell>
          <cell r="F207">
            <v>43080</v>
          </cell>
        </row>
        <row r="208">
          <cell r="A208" t="str">
            <v>17523409-8</v>
          </cell>
          <cell r="B208" t="str">
            <v>PALMA</v>
          </cell>
          <cell r="C208" t="str">
            <v>MIRANDA</v>
          </cell>
          <cell r="D208" t="str">
            <v>MIGUEL</v>
          </cell>
          <cell r="E208" t="str">
            <v>MIGUEL PALMA MIRANDA</v>
          </cell>
          <cell r="F208">
            <v>43255</v>
          </cell>
        </row>
        <row r="209">
          <cell r="A209" t="str">
            <v>15992155-7</v>
          </cell>
          <cell r="B209" t="str">
            <v>PAVEZ</v>
          </cell>
          <cell r="C209" t="str">
            <v>VILCHES</v>
          </cell>
          <cell r="D209" t="str">
            <v>NICOLAS HOMER</v>
          </cell>
          <cell r="E209" t="str">
            <v>NICOLAS HOMER PAVEZ VILCHES</v>
          </cell>
          <cell r="F209">
            <v>43789</v>
          </cell>
        </row>
        <row r="210">
          <cell r="A210" t="str">
            <v>18677164-8</v>
          </cell>
          <cell r="B210" t="str">
            <v>PEÑA</v>
          </cell>
          <cell r="C210" t="str">
            <v>GONZALEZ</v>
          </cell>
          <cell r="D210" t="str">
            <v>VINKA</v>
          </cell>
          <cell r="E210" t="str">
            <v>VINKA PEÑA GONZALEZ</v>
          </cell>
          <cell r="F210">
            <v>42843</v>
          </cell>
        </row>
        <row r="211">
          <cell r="A211" t="str">
            <v>25168965-2</v>
          </cell>
          <cell r="B211" t="str">
            <v>PEÑA</v>
          </cell>
          <cell r="C211" t="str">
            <v>ORTIZ</v>
          </cell>
          <cell r="D211" t="str">
            <v>AMANDA REBECA</v>
          </cell>
          <cell r="E211" t="str">
            <v>AMANDA REBECA PEÑA ORTIZ</v>
          </cell>
          <cell r="F211">
            <v>43537</v>
          </cell>
        </row>
        <row r="212">
          <cell r="A212" t="str">
            <v>18880134-k</v>
          </cell>
          <cell r="B212" t="str">
            <v>PEÑALOZA</v>
          </cell>
          <cell r="C212" t="str">
            <v>CANALES</v>
          </cell>
          <cell r="D212" t="str">
            <v>ELIZABETH DEL ROSARIO</v>
          </cell>
          <cell r="E212" t="str">
            <v>ELIZABETH DEL ROSARIO PEÑALOZA CANALES</v>
          </cell>
          <cell r="F212">
            <v>43668</v>
          </cell>
        </row>
        <row r="213">
          <cell r="A213" t="str">
            <v>18547368-6</v>
          </cell>
          <cell r="B213" t="str">
            <v>PEREZ</v>
          </cell>
          <cell r="C213" t="str">
            <v>BUSTOS</v>
          </cell>
          <cell r="D213" t="str">
            <v>BELEN</v>
          </cell>
          <cell r="E213" t="str">
            <v>BELEN PEREZ BUSTOS</v>
          </cell>
          <cell r="F213">
            <v>41176</v>
          </cell>
        </row>
        <row r="214">
          <cell r="A214" t="str">
            <v>13918098-4</v>
          </cell>
          <cell r="B214" t="str">
            <v>PINOCHET</v>
          </cell>
          <cell r="C214" t="str">
            <v>VEGA</v>
          </cell>
          <cell r="D214" t="str">
            <v>ANDRES ALEJANDRO</v>
          </cell>
          <cell r="E214" t="str">
            <v>ANDRES ALEJANDRO PINOCHET VEGA</v>
          </cell>
          <cell r="F214">
            <v>43626</v>
          </cell>
        </row>
        <row r="215">
          <cell r="A215" t="str">
            <v>17277990-5</v>
          </cell>
          <cell r="B215" t="str">
            <v>PINTO</v>
          </cell>
          <cell r="C215" t="str">
            <v>CACERES</v>
          </cell>
          <cell r="D215" t="str">
            <v>MANUEL</v>
          </cell>
          <cell r="E215" t="str">
            <v>MANUEL PINTO CACERES</v>
          </cell>
          <cell r="F215">
            <v>42387</v>
          </cell>
        </row>
        <row r="216">
          <cell r="A216" t="str">
            <v>18683100-4</v>
          </cell>
          <cell r="B216" t="str">
            <v>PONCE</v>
          </cell>
          <cell r="C216" t="str">
            <v>VALDERRAMA</v>
          </cell>
          <cell r="D216" t="str">
            <v>FRANCO</v>
          </cell>
          <cell r="E216" t="str">
            <v>FRANCO PONCE VALDERRAMA</v>
          </cell>
          <cell r="F216">
            <v>43221</v>
          </cell>
        </row>
        <row r="217">
          <cell r="A217" t="str">
            <v>16409528-2</v>
          </cell>
          <cell r="B217" t="str">
            <v>QUEZADA</v>
          </cell>
          <cell r="C217" t="str">
            <v>LOPEZ</v>
          </cell>
          <cell r="D217" t="str">
            <v>DANIEL M PATRICIO</v>
          </cell>
          <cell r="E217" t="str">
            <v>DANIEL M PATRICIO QUEZADA LOPEZ</v>
          </cell>
          <cell r="F217">
            <v>43497</v>
          </cell>
        </row>
        <row r="218">
          <cell r="A218" t="str">
            <v>19360227-4</v>
          </cell>
          <cell r="B218" t="str">
            <v>QUINTEROS</v>
          </cell>
          <cell r="C218" t="str">
            <v>URZUA</v>
          </cell>
          <cell r="D218" t="str">
            <v>CONSTANZA</v>
          </cell>
          <cell r="E218" t="str">
            <v>CONSTANZA QUINTEROS URZUA</v>
          </cell>
          <cell r="F218">
            <v>43103</v>
          </cell>
        </row>
        <row r="219">
          <cell r="A219" t="str">
            <v>14569710-7</v>
          </cell>
          <cell r="B219" t="str">
            <v>RETAMAL</v>
          </cell>
          <cell r="C219" t="str">
            <v>RETAMAL</v>
          </cell>
          <cell r="D219" t="str">
            <v>FABIAN</v>
          </cell>
          <cell r="E219" t="str">
            <v>FABIAN RETAMAL RETAMAL</v>
          </cell>
          <cell r="F219">
            <v>38534</v>
          </cell>
        </row>
        <row r="220">
          <cell r="A220" t="str">
            <v>15100627-2</v>
          </cell>
          <cell r="B220" t="str">
            <v>REYES</v>
          </cell>
          <cell r="C220" t="str">
            <v>MUÑOZ</v>
          </cell>
          <cell r="D220" t="str">
            <v>MILCIADES</v>
          </cell>
          <cell r="E220" t="str">
            <v>MILCIADES REYES MUÑOZ</v>
          </cell>
          <cell r="F220">
            <v>41554</v>
          </cell>
        </row>
        <row r="221">
          <cell r="A221" t="str">
            <v>16418855-8</v>
          </cell>
          <cell r="B221" t="str">
            <v>RIFFO</v>
          </cell>
          <cell r="C221" t="str">
            <v>DONOSO</v>
          </cell>
          <cell r="D221" t="str">
            <v>MAXIMILIANO</v>
          </cell>
          <cell r="E221" t="str">
            <v>MAXIMILIANO RIFFO DONOSO</v>
          </cell>
          <cell r="F221">
            <v>43395</v>
          </cell>
        </row>
        <row r="222">
          <cell r="A222" t="str">
            <v>11970031-0</v>
          </cell>
          <cell r="B222" t="str">
            <v xml:space="preserve">RIOS </v>
          </cell>
          <cell r="C222" t="str">
            <v>SILVA</v>
          </cell>
          <cell r="D222" t="str">
            <v>CLAUDIA ANGELICA</v>
          </cell>
          <cell r="E222" t="str">
            <v>CLAUDIA ANGELICA RIOS  SILVA</v>
          </cell>
          <cell r="F222">
            <v>43556</v>
          </cell>
        </row>
        <row r="223">
          <cell r="A223" t="str">
            <v>15182850-7</v>
          </cell>
          <cell r="B223" t="str">
            <v>RIVERA</v>
          </cell>
          <cell r="C223" t="str">
            <v>CARRASCO</v>
          </cell>
          <cell r="D223" t="str">
            <v>CLAUDIO</v>
          </cell>
          <cell r="E223" t="str">
            <v>CLAUDIO RIVERA CARRASCO</v>
          </cell>
          <cell r="F223">
            <v>42675</v>
          </cell>
        </row>
        <row r="224">
          <cell r="A224" t="str">
            <v>18906894-8</v>
          </cell>
          <cell r="B224" t="str">
            <v>RIVEROS</v>
          </cell>
          <cell r="C224" t="str">
            <v>GALVEZ</v>
          </cell>
          <cell r="D224" t="str">
            <v>CAMILA</v>
          </cell>
          <cell r="E224" t="str">
            <v>CAMILA RIVEROS GALVEZ</v>
          </cell>
          <cell r="F224">
            <v>42933</v>
          </cell>
        </row>
        <row r="225">
          <cell r="A225" t="str">
            <v>15316742-7</v>
          </cell>
          <cell r="B225" t="str">
            <v>RIVERA</v>
          </cell>
          <cell r="C225" t="str">
            <v>VASQUEZ</v>
          </cell>
          <cell r="D225" t="str">
            <v>MARCOS FELIPE</v>
          </cell>
          <cell r="E225" t="str">
            <v>MARCOS FELIPE RIVERA VASQUEZ</v>
          </cell>
          <cell r="F225">
            <v>43773</v>
          </cell>
        </row>
        <row r="226">
          <cell r="A226" t="str">
            <v>16197839-6</v>
          </cell>
          <cell r="B226" t="str">
            <v>ROCHA</v>
          </cell>
          <cell r="C226" t="str">
            <v>SEPULVEDA</v>
          </cell>
          <cell r="D226" t="str">
            <v>MAURICIO</v>
          </cell>
          <cell r="E226" t="str">
            <v>MAURICIO ROCHA SEPULVEDA</v>
          </cell>
          <cell r="F226">
            <v>43024</v>
          </cell>
        </row>
        <row r="227">
          <cell r="A227" t="str">
            <v>15485420-7</v>
          </cell>
          <cell r="B227" t="str">
            <v>RODRIGUEZ</v>
          </cell>
          <cell r="C227" t="str">
            <v>CANALES</v>
          </cell>
          <cell r="D227" t="str">
            <v>JUAN</v>
          </cell>
          <cell r="E227" t="str">
            <v>JUAN RODRIGUEZ CANALES</v>
          </cell>
          <cell r="F227">
            <v>42870</v>
          </cell>
        </row>
        <row r="228">
          <cell r="A228" t="str">
            <v>18058577-K</v>
          </cell>
          <cell r="B228" t="str">
            <v>RODRIGUEZ</v>
          </cell>
          <cell r="C228" t="str">
            <v>DIAZ</v>
          </cell>
          <cell r="D228" t="str">
            <v>ANDRES</v>
          </cell>
          <cell r="E228" t="str">
            <v>ANDRES RODRIGUEZ DIAZ</v>
          </cell>
          <cell r="F228">
            <v>42933</v>
          </cell>
        </row>
        <row r="229">
          <cell r="A229" t="str">
            <v>19230229-3</v>
          </cell>
          <cell r="B229" t="str">
            <v>RODRIGUEZ</v>
          </cell>
          <cell r="C229" t="str">
            <v>FARFAN</v>
          </cell>
          <cell r="D229" t="str">
            <v>CARLOS</v>
          </cell>
          <cell r="E229" t="str">
            <v>CARLOS RODRIGUEZ FARFAN</v>
          </cell>
          <cell r="F229">
            <v>43353</v>
          </cell>
        </row>
        <row r="230">
          <cell r="A230" t="str">
            <v>12636847-K</v>
          </cell>
          <cell r="B230" t="str">
            <v>RODRIGUEZ</v>
          </cell>
          <cell r="C230" t="str">
            <v>GONZALEZ</v>
          </cell>
          <cell r="D230" t="str">
            <v>LINA</v>
          </cell>
          <cell r="E230" t="str">
            <v>LINA RODRIGUEZ GONZALEZ</v>
          </cell>
          <cell r="F230">
            <v>43298</v>
          </cell>
        </row>
        <row r="231">
          <cell r="A231" t="str">
            <v>12296791-3</v>
          </cell>
          <cell r="B231" t="str">
            <v>RODRIGUEZ</v>
          </cell>
          <cell r="C231" t="str">
            <v>TAGLE</v>
          </cell>
          <cell r="D231" t="str">
            <v>CRISTIAN</v>
          </cell>
          <cell r="E231" t="str">
            <v>CRISTIAN RODRIGUEZ TAGLE</v>
          </cell>
          <cell r="F231">
            <v>39417</v>
          </cell>
        </row>
        <row r="232">
          <cell r="A232" t="str">
            <v>15551311-k</v>
          </cell>
          <cell r="B232" t="str">
            <v>RODRIGUEZ</v>
          </cell>
          <cell r="C232" t="str">
            <v>ZUCCONE</v>
          </cell>
          <cell r="D232" t="str">
            <v>PAOLA ALEJANDRA</v>
          </cell>
          <cell r="E232" t="str">
            <v>PAOLA ALEJANDRA RODRIGUEZ ZUCCONE</v>
          </cell>
          <cell r="F232">
            <v>43649</v>
          </cell>
        </row>
        <row r="233">
          <cell r="A233" t="str">
            <v>17986872-5</v>
          </cell>
          <cell r="B233" t="str">
            <v>ROJAS</v>
          </cell>
          <cell r="C233" t="str">
            <v>CORTES</v>
          </cell>
          <cell r="D233" t="str">
            <v>BARBARA</v>
          </cell>
          <cell r="E233" t="str">
            <v>BARBARA ROJAS CORTES</v>
          </cell>
          <cell r="F233">
            <v>42499</v>
          </cell>
        </row>
        <row r="234">
          <cell r="A234" t="str">
            <v>18702103-0</v>
          </cell>
          <cell r="B234" t="str">
            <v>ROJAS</v>
          </cell>
          <cell r="C234" t="str">
            <v>DELGADO</v>
          </cell>
          <cell r="D234" t="str">
            <v>JUANITA</v>
          </cell>
          <cell r="E234" t="str">
            <v>JUANITA ROJAS DELGADO</v>
          </cell>
          <cell r="F234">
            <v>42065</v>
          </cell>
        </row>
        <row r="235">
          <cell r="A235" t="str">
            <v>17865238-9</v>
          </cell>
          <cell r="B235" t="str">
            <v>ROJAS</v>
          </cell>
          <cell r="C235" t="str">
            <v>SAAVEDRA</v>
          </cell>
          <cell r="D235" t="str">
            <v>ESTEBAN</v>
          </cell>
          <cell r="E235" t="str">
            <v>ESTEBAN ROJAS SAAVEDRA</v>
          </cell>
          <cell r="F235">
            <v>43255</v>
          </cell>
        </row>
        <row r="236">
          <cell r="A236" t="str">
            <v>13550392-4</v>
          </cell>
          <cell r="B236" t="str">
            <v>ROJAS</v>
          </cell>
          <cell r="C236" t="str">
            <v>TAPIA</v>
          </cell>
          <cell r="D236" t="str">
            <v>SIMÓN</v>
          </cell>
          <cell r="E236" t="str">
            <v>SIMÓN ROJAS TAPIA</v>
          </cell>
          <cell r="F236">
            <v>43070</v>
          </cell>
        </row>
        <row r="237">
          <cell r="A237" t="str">
            <v>19111854-5</v>
          </cell>
          <cell r="B237" t="str">
            <v>ROMAN</v>
          </cell>
          <cell r="C237" t="str">
            <v>TORO</v>
          </cell>
          <cell r="D237" t="str">
            <v>PALOMA</v>
          </cell>
          <cell r="E237" t="str">
            <v>PALOMA ROMAN TORO</v>
          </cell>
          <cell r="F237">
            <v>42843</v>
          </cell>
        </row>
        <row r="238">
          <cell r="A238" t="str">
            <v>16951635-9</v>
          </cell>
          <cell r="B238" t="str">
            <v>ROSAS</v>
          </cell>
          <cell r="C238" t="str">
            <v>FLORES</v>
          </cell>
          <cell r="D238" t="str">
            <v>ISRAEL</v>
          </cell>
          <cell r="E238" t="str">
            <v>ISRAEL ROSAS FLORES</v>
          </cell>
          <cell r="F238">
            <v>43349</v>
          </cell>
        </row>
        <row r="239">
          <cell r="A239" t="str">
            <v>14542091-1</v>
          </cell>
          <cell r="B239" t="str">
            <v>ROZAS</v>
          </cell>
          <cell r="C239" t="str">
            <v>NAVARRO</v>
          </cell>
          <cell r="D239" t="str">
            <v>ROBERT</v>
          </cell>
          <cell r="E239" t="str">
            <v>ROBERT ROZAS NAVARRO</v>
          </cell>
          <cell r="F239">
            <v>43059</v>
          </cell>
        </row>
        <row r="240">
          <cell r="A240" t="str">
            <v>19566830-2</v>
          </cell>
          <cell r="B240" t="str">
            <v>RUBIO</v>
          </cell>
          <cell r="C240" t="str">
            <v>IMILAN</v>
          </cell>
          <cell r="D240" t="str">
            <v>FRANCISCA</v>
          </cell>
          <cell r="E240" t="str">
            <v>FRANCISCA RUBIO IMILAN</v>
          </cell>
          <cell r="F240">
            <v>42982</v>
          </cell>
        </row>
        <row r="241">
          <cell r="A241" t="str">
            <v>18336262-3</v>
          </cell>
          <cell r="B241" t="str">
            <v>RUIZ</v>
          </cell>
          <cell r="C241" t="str">
            <v>ALBORNOZ</v>
          </cell>
          <cell r="D241" t="str">
            <v>TAMARA</v>
          </cell>
          <cell r="E241" t="str">
            <v>TAMARA RUIZ ALBORNOZ</v>
          </cell>
          <cell r="F241">
            <v>43598</v>
          </cell>
        </row>
        <row r="242">
          <cell r="A242" t="str">
            <v>18833172-6</v>
          </cell>
          <cell r="B242" t="str">
            <v>SALAS</v>
          </cell>
          <cell r="C242" t="str">
            <v>CONA</v>
          </cell>
          <cell r="D242" t="str">
            <v>LORENA</v>
          </cell>
          <cell r="E242" t="str">
            <v>LORENA SALAS CONA</v>
          </cell>
          <cell r="F242">
            <v>42870</v>
          </cell>
        </row>
        <row r="243">
          <cell r="A243" t="str">
            <v>15157852-7</v>
          </cell>
          <cell r="B243" t="str">
            <v>SALAS</v>
          </cell>
          <cell r="C243" t="str">
            <v>MAUREIRA</v>
          </cell>
          <cell r="D243" t="str">
            <v>MIGUEL ANGEL</v>
          </cell>
          <cell r="E243" t="str">
            <v>MIGUEL ANGEL SALAS MAUREIRA</v>
          </cell>
          <cell r="F243">
            <v>42705</v>
          </cell>
        </row>
        <row r="244">
          <cell r="A244" t="str">
            <v>18200432-4</v>
          </cell>
          <cell r="B244" t="str">
            <v>SALAS</v>
          </cell>
          <cell r="C244" t="str">
            <v>SANCHEZ</v>
          </cell>
          <cell r="D244" t="str">
            <v>CAMILO ANDRES</v>
          </cell>
          <cell r="E244" t="str">
            <v>CAMILO ANDRES SALAS SANCHEZ</v>
          </cell>
          <cell r="F244">
            <v>43773</v>
          </cell>
        </row>
        <row r="245">
          <cell r="A245" t="str">
            <v>10791742-K</v>
          </cell>
          <cell r="B245" t="str">
            <v>SALAZAR</v>
          </cell>
          <cell r="C245" t="str">
            <v>CERDA</v>
          </cell>
          <cell r="D245" t="str">
            <v>WILIBALDO</v>
          </cell>
          <cell r="E245" t="str">
            <v>WILIBALDO SALAZAR CERDA</v>
          </cell>
          <cell r="F245">
            <v>42823</v>
          </cell>
        </row>
        <row r="246">
          <cell r="A246" t="str">
            <v>19041589-9</v>
          </cell>
          <cell r="B246" t="str">
            <v>SALINAS</v>
          </cell>
          <cell r="C246" t="str">
            <v>LUCERO</v>
          </cell>
          <cell r="D246" t="str">
            <v>GABRIEL</v>
          </cell>
          <cell r="E246" t="str">
            <v>GABRIEL SALINAS LUCERO</v>
          </cell>
          <cell r="F246">
            <v>43221</v>
          </cell>
        </row>
        <row r="247">
          <cell r="A247" t="str">
            <v>11592552-0</v>
          </cell>
          <cell r="B247" t="str">
            <v>SALVO</v>
          </cell>
          <cell r="C247" t="str">
            <v>GONZALEZ</v>
          </cell>
          <cell r="D247" t="str">
            <v>ISMADA</v>
          </cell>
          <cell r="E247" t="str">
            <v>ISMADA SALVO GONZALEZ</v>
          </cell>
          <cell r="F247">
            <v>42779</v>
          </cell>
        </row>
        <row r="248">
          <cell r="A248" t="str">
            <v>16210214-1</v>
          </cell>
          <cell r="B248" t="str">
            <v>SAMSING</v>
          </cell>
          <cell r="C248" t="str">
            <v>PEDRALS</v>
          </cell>
          <cell r="D248" t="str">
            <v>CAROLINA RIDDERVOLD</v>
          </cell>
          <cell r="E248" t="str">
            <v>CAROLINA RIDDERVOLD SAMSING PEDRALS</v>
          </cell>
          <cell r="F248">
            <v>43689</v>
          </cell>
        </row>
        <row r="249">
          <cell r="A249" t="str">
            <v>10989120-7</v>
          </cell>
          <cell r="B249" t="str">
            <v>SAN FRANCISCO</v>
          </cell>
          <cell r="C249" t="str">
            <v>BRAVO</v>
          </cell>
          <cell r="D249" t="str">
            <v>CLAUDIO</v>
          </cell>
          <cell r="E249" t="str">
            <v>CLAUDIO SAN FRANCISCO BRAVO</v>
          </cell>
          <cell r="F249">
            <v>43221</v>
          </cell>
        </row>
        <row r="250">
          <cell r="A250" t="str">
            <v>18748413-8</v>
          </cell>
          <cell r="B250" t="str">
            <v>SÁNCHEZ</v>
          </cell>
          <cell r="C250" t="str">
            <v>PEREZ</v>
          </cell>
          <cell r="D250" t="str">
            <v>CONSTANZA</v>
          </cell>
          <cell r="E250" t="str">
            <v>CONSTANZA SÁNCHEZ PEREZ</v>
          </cell>
          <cell r="F250">
            <v>41730</v>
          </cell>
        </row>
        <row r="251">
          <cell r="A251" t="str">
            <v>15069394-2</v>
          </cell>
          <cell r="B251" t="str">
            <v>SANDOVAL</v>
          </cell>
          <cell r="C251" t="str">
            <v>GOMEZ</v>
          </cell>
          <cell r="D251" t="str">
            <v>EDUARDO</v>
          </cell>
          <cell r="E251" t="str">
            <v>EDUARDO SANDOVAL GOMEZ</v>
          </cell>
          <cell r="F251">
            <v>43040</v>
          </cell>
        </row>
        <row r="252">
          <cell r="A252" t="str">
            <v>18340728-7</v>
          </cell>
          <cell r="B252" t="str">
            <v>SANDOVAL</v>
          </cell>
          <cell r="C252" t="str">
            <v>MELLADO</v>
          </cell>
          <cell r="D252" t="str">
            <v>JONATHAN</v>
          </cell>
          <cell r="E252" t="str">
            <v>JONATHAN SANDOVAL MELLADO</v>
          </cell>
          <cell r="F252">
            <v>43284</v>
          </cell>
        </row>
        <row r="253">
          <cell r="A253" t="str">
            <v>18667235-6</v>
          </cell>
          <cell r="B253" t="str">
            <v>SANHUEZA</v>
          </cell>
          <cell r="C253" t="str">
            <v>RODRIGUEZ</v>
          </cell>
          <cell r="D253" t="str">
            <v>CRISTOBAL</v>
          </cell>
          <cell r="E253" t="str">
            <v>CRISTOBAL SANHUEZA RODRIGUEZ</v>
          </cell>
          <cell r="F253">
            <v>43318</v>
          </cell>
        </row>
        <row r="254">
          <cell r="A254" t="str">
            <v>11476203-2</v>
          </cell>
          <cell r="B254" t="str">
            <v>SANS</v>
          </cell>
          <cell r="C254" t="str">
            <v>GATICA</v>
          </cell>
          <cell r="D254" t="str">
            <v>ANGELINA DE LAS MERCEDES</v>
          </cell>
          <cell r="E254" t="str">
            <v>ANGELINA DE LAS MERCEDES SANS GATICA</v>
          </cell>
          <cell r="F254">
            <v>43586</v>
          </cell>
        </row>
        <row r="255">
          <cell r="A255" t="str">
            <v>17307835-8</v>
          </cell>
          <cell r="B255" t="str">
            <v>SEPULVEDA</v>
          </cell>
          <cell r="C255" t="str">
            <v>JAUREGUY</v>
          </cell>
          <cell r="D255" t="str">
            <v>VICTOR MANUEL</v>
          </cell>
          <cell r="E255" t="str">
            <v>VICTOR MANUEL SEPULVEDA JAUREGUY</v>
          </cell>
          <cell r="F255">
            <v>43789</v>
          </cell>
        </row>
        <row r="256">
          <cell r="A256" t="str">
            <v>19573866-1</v>
          </cell>
          <cell r="B256" t="str">
            <v>SEPULVEDA</v>
          </cell>
          <cell r="C256" t="str">
            <v>RIQUELME</v>
          </cell>
          <cell r="D256" t="str">
            <v>KASSANDRA</v>
          </cell>
          <cell r="E256" t="str">
            <v>KASSANDRA SEPULVEDA RIQUELME</v>
          </cell>
          <cell r="F256">
            <v>42639</v>
          </cell>
        </row>
        <row r="257">
          <cell r="A257" t="str">
            <v>17315726-6</v>
          </cell>
          <cell r="B257" t="str">
            <v>SEPULVEDA</v>
          </cell>
          <cell r="C257" t="str">
            <v>ROZAS</v>
          </cell>
          <cell r="D257" t="str">
            <v>GRICEL</v>
          </cell>
          <cell r="E257" t="str">
            <v>GRICEL SEPULVEDA ROZAS</v>
          </cell>
          <cell r="F257">
            <v>42863</v>
          </cell>
        </row>
        <row r="258">
          <cell r="A258" t="str">
            <v>14219261-6</v>
          </cell>
          <cell r="B258" t="str">
            <v>SEPULVEDA</v>
          </cell>
          <cell r="C258" t="str">
            <v>SEGURA</v>
          </cell>
          <cell r="D258" t="str">
            <v>CRISTIAN</v>
          </cell>
          <cell r="E258" t="str">
            <v>CRISTIAN SEPULVEDA SEGURA</v>
          </cell>
          <cell r="F258">
            <v>43171</v>
          </cell>
        </row>
        <row r="259">
          <cell r="A259" t="str">
            <v>18347658-0</v>
          </cell>
          <cell r="B259" t="str">
            <v>SEREÑO</v>
          </cell>
          <cell r="C259" t="str">
            <v>PALACIOS</v>
          </cell>
          <cell r="D259" t="str">
            <v>JORGE ANDRE</v>
          </cell>
          <cell r="E259" t="str">
            <v>JORGE ANDRE SEREÑO PALACIOS</v>
          </cell>
          <cell r="F259">
            <v>43467</v>
          </cell>
        </row>
        <row r="260">
          <cell r="A260" t="str">
            <v>10085732-4</v>
          </cell>
          <cell r="B260" t="str">
            <v>SILVA</v>
          </cell>
          <cell r="C260" t="str">
            <v>ELGUETA</v>
          </cell>
          <cell r="D260" t="str">
            <v>ALBERTO IGNACIO</v>
          </cell>
          <cell r="E260" t="str">
            <v>ALBERTO IGNACIO SILVA ELGUETA</v>
          </cell>
          <cell r="F260">
            <v>43479</v>
          </cell>
        </row>
        <row r="261">
          <cell r="A261" t="str">
            <v>9589959-5</v>
          </cell>
          <cell r="B261" t="str">
            <v>SILVA</v>
          </cell>
          <cell r="C261" t="str">
            <v>IHL</v>
          </cell>
          <cell r="D261" t="str">
            <v>ALEJANDRO</v>
          </cell>
          <cell r="E261" t="str">
            <v>ALEJANDRO SILVA IHL</v>
          </cell>
          <cell r="F261">
            <v>43329</v>
          </cell>
        </row>
        <row r="262">
          <cell r="A262" t="str">
            <v>16121680-1</v>
          </cell>
          <cell r="B262" t="str">
            <v>SILVA</v>
          </cell>
          <cell r="C262" t="str">
            <v>SOLIS</v>
          </cell>
          <cell r="D262" t="str">
            <v>EMILIO</v>
          </cell>
          <cell r="E262" t="str">
            <v>EMILIO SILVA SOLIS</v>
          </cell>
          <cell r="F262">
            <v>42877</v>
          </cell>
        </row>
        <row r="263">
          <cell r="A263" t="str">
            <v>10897784-1</v>
          </cell>
          <cell r="B263" t="str">
            <v>SILVA</v>
          </cell>
          <cell r="C263" t="str">
            <v>TRINCADO</v>
          </cell>
          <cell r="D263" t="str">
            <v>CYNTHIA</v>
          </cell>
          <cell r="E263" t="str">
            <v>CYNTHIA SILVA TRINCADO</v>
          </cell>
          <cell r="F263">
            <v>43329</v>
          </cell>
        </row>
        <row r="264">
          <cell r="A264" t="str">
            <v>18061524-5</v>
          </cell>
          <cell r="B264" t="str">
            <v>SUAZO</v>
          </cell>
          <cell r="C264" t="str">
            <v>CACERES</v>
          </cell>
          <cell r="D264" t="str">
            <v>OMAR ALBERTO</v>
          </cell>
          <cell r="E264" t="str">
            <v>OMAR ALBERTO SUAZO CACERES</v>
          </cell>
          <cell r="F264">
            <v>43720</v>
          </cell>
        </row>
        <row r="265">
          <cell r="A265" t="str">
            <v>24132055-3</v>
          </cell>
          <cell r="B265" t="str">
            <v>SUSSMANN</v>
          </cell>
          <cell r="C265" t="str">
            <v>WAGNER</v>
          </cell>
          <cell r="D265" t="str">
            <v>CARLOS ANDRES</v>
          </cell>
          <cell r="E265" t="str">
            <v>CARLOS ANDRES SUSSMANN WAGNER</v>
          </cell>
          <cell r="F265">
            <v>43435</v>
          </cell>
        </row>
        <row r="266">
          <cell r="A266" t="str">
            <v>11846435-4</v>
          </cell>
          <cell r="B266" t="str">
            <v>TAPIA</v>
          </cell>
          <cell r="C266" t="str">
            <v>GALDÁMEZ</v>
          </cell>
          <cell r="D266" t="str">
            <v>CECILIA</v>
          </cell>
          <cell r="E266" t="str">
            <v>CECILIA TAPIA GALDÁMEZ</v>
          </cell>
          <cell r="F266">
            <v>42750</v>
          </cell>
        </row>
        <row r="267">
          <cell r="A267" t="str">
            <v>18119221-6</v>
          </cell>
          <cell r="B267" t="str">
            <v>TAPIA</v>
          </cell>
          <cell r="C267" t="str">
            <v>VERGARA</v>
          </cell>
          <cell r="D267" t="str">
            <v>MACARENA</v>
          </cell>
          <cell r="E267" t="str">
            <v>MACARENA TAPIA VERGARA</v>
          </cell>
          <cell r="F267">
            <v>42499</v>
          </cell>
        </row>
        <row r="268">
          <cell r="A268" t="str">
            <v>12811741-5</v>
          </cell>
          <cell r="B268" t="str">
            <v>TOBAR</v>
          </cell>
          <cell r="C268" t="str">
            <v>PERALTA</v>
          </cell>
          <cell r="D268" t="str">
            <v>EDUARDO</v>
          </cell>
          <cell r="E268" t="str">
            <v>EDUARDO TOBAR PERALTA</v>
          </cell>
          <cell r="F268">
            <v>43213</v>
          </cell>
        </row>
        <row r="269">
          <cell r="A269" t="str">
            <v>25321360-4</v>
          </cell>
          <cell r="B269" t="str">
            <v>TOCUYO</v>
          </cell>
          <cell r="C269" t="str">
            <v>SUAREZ</v>
          </cell>
          <cell r="D269" t="str">
            <v>GERMAN</v>
          </cell>
          <cell r="E269" t="str">
            <v>GERMAN TOCUYO SUAREZ</v>
          </cell>
          <cell r="F269">
            <v>42711</v>
          </cell>
        </row>
        <row r="270">
          <cell r="A270" t="str">
            <v>26067856-6</v>
          </cell>
          <cell r="B270" t="str">
            <v xml:space="preserve">TORRES </v>
          </cell>
          <cell r="C270" t="str">
            <v>ROSALES</v>
          </cell>
          <cell r="D270" t="str">
            <v>KARENIS JOHANA</v>
          </cell>
          <cell r="E270" t="str">
            <v>KARENIS JOHANA TORRES  ROSALES</v>
          </cell>
          <cell r="F270">
            <v>43783</v>
          </cell>
        </row>
        <row r="271">
          <cell r="A271" t="str">
            <v>15182723-3</v>
          </cell>
          <cell r="B271" t="str">
            <v>TRONCOSO</v>
          </cell>
          <cell r="C271" t="str">
            <v>TRONCOSO</v>
          </cell>
          <cell r="D271" t="str">
            <v>DENNIS</v>
          </cell>
          <cell r="E271" t="str">
            <v>DENNIS TRONCOSO TRONCOSO</v>
          </cell>
          <cell r="F271">
            <v>42310</v>
          </cell>
        </row>
        <row r="272">
          <cell r="A272" t="str">
            <v>18002287-2</v>
          </cell>
          <cell r="B272" t="str">
            <v>VALDES</v>
          </cell>
          <cell r="C272" t="str">
            <v>ZAVALA</v>
          </cell>
          <cell r="D272" t="str">
            <v>MACARENA</v>
          </cell>
          <cell r="E272" t="str">
            <v>MACARENA VALDES ZAVALA</v>
          </cell>
          <cell r="F272">
            <v>43075</v>
          </cell>
        </row>
        <row r="273">
          <cell r="A273" t="str">
            <v>25567921-k</v>
          </cell>
          <cell r="B273" t="str">
            <v>VALDERRAMA</v>
          </cell>
          <cell r="C273" t="str">
            <v>URDANETA</v>
          </cell>
          <cell r="D273" t="str">
            <v>JOSE JAVIER</v>
          </cell>
          <cell r="E273" t="str">
            <v>JOSE JAVIER VALDERRAMA URDANETA</v>
          </cell>
          <cell r="F273">
            <v>43671</v>
          </cell>
        </row>
        <row r="274">
          <cell r="A274" t="str">
            <v>16477005-2</v>
          </cell>
          <cell r="B274" t="str">
            <v>VALENCIA</v>
          </cell>
          <cell r="C274" t="str">
            <v>DIAZ</v>
          </cell>
          <cell r="D274" t="str">
            <v>MAURICIO</v>
          </cell>
          <cell r="E274" t="str">
            <v>MAURICIO VALENCIA DIAZ</v>
          </cell>
          <cell r="F274">
            <v>43208</v>
          </cell>
        </row>
        <row r="275">
          <cell r="A275" t="str">
            <v>16912023-4</v>
          </cell>
          <cell r="B275" t="str">
            <v>VALENZUELA</v>
          </cell>
          <cell r="C275" t="str">
            <v>NUÑEZ</v>
          </cell>
          <cell r="D275" t="str">
            <v>DANIELA</v>
          </cell>
          <cell r="E275" t="str">
            <v>DANIELA VALENZUELA NUÑEZ</v>
          </cell>
          <cell r="F275">
            <v>43191</v>
          </cell>
        </row>
        <row r="276">
          <cell r="A276" t="str">
            <v>17052424-1</v>
          </cell>
          <cell r="B276" t="str">
            <v>VALENZUELA</v>
          </cell>
          <cell r="C276" t="str">
            <v>SUAREZ</v>
          </cell>
          <cell r="D276" t="str">
            <v>DANIEL ANDRES</v>
          </cell>
          <cell r="E276" t="str">
            <v>DANIEL ANDRES VALENZUELA SUAREZ</v>
          </cell>
          <cell r="F276">
            <v>43472</v>
          </cell>
        </row>
        <row r="277">
          <cell r="A277" t="str">
            <v>17670457-8</v>
          </cell>
          <cell r="B277" t="str">
            <v>VASQUEZ</v>
          </cell>
          <cell r="C277" t="str">
            <v>BUSTOS</v>
          </cell>
          <cell r="D277" t="str">
            <v>JORGE</v>
          </cell>
          <cell r="E277" t="str">
            <v>JORGE VASQUEZ BUSTOS</v>
          </cell>
          <cell r="F277">
            <v>43080</v>
          </cell>
        </row>
        <row r="278">
          <cell r="A278" t="str">
            <v>17305110-7</v>
          </cell>
          <cell r="B278" t="str">
            <v>VASQUEZ</v>
          </cell>
          <cell r="C278" t="str">
            <v>FARÍAS</v>
          </cell>
          <cell r="D278" t="str">
            <v>CLAUDIO</v>
          </cell>
          <cell r="E278" t="str">
            <v>CLAUDIO VASQUEZ FARÍAS</v>
          </cell>
          <cell r="F278">
            <v>43259</v>
          </cell>
        </row>
        <row r="279">
          <cell r="A279" t="str">
            <v>12486130-6</v>
          </cell>
          <cell r="B279" t="str">
            <v>VASQUEZ</v>
          </cell>
          <cell r="C279" t="str">
            <v>HERNANDEZ</v>
          </cell>
          <cell r="D279" t="str">
            <v>PAMELA</v>
          </cell>
          <cell r="E279" t="str">
            <v>PAMELA VASQUEZ HERNANDEZ</v>
          </cell>
          <cell r="F279">
            <v>42940</v>
          </cell>
        </row>
        <row r="280">
          <cell r="A280" t="str">
            <v>17958045-4</v>
          </cell>
          <cell r="B280" t="str">
            <v>VEGA</v>
          </cell>
          <cell r="C280" t="str">
            <v>ARRESE</v>
          </cell>
          <cell r="D280" t="str">
            <v>PEDRO</v>
          </cell>
          <cell r="E280" t="str">
            <v>PEDRO VEGA ARRESE</v>
          </cell>
          <cell r="F280">
            <v>42430</v>
          </cell>
        </row>
        <row r="281">
          <cell r="A281" t="str">
            <v>18666376-4</v>
          </cell>
          <cell r="B281" t="str">
            <v>VELASCO</v>
          </cell>
          <cell r="C281" t="str">
            <v>GUZMAN</v>
          </cell>
          <cell r="D281" t="str">
            <v>ALEXIS</v>
          </cell>
          <cell r="E281" t="str">
            <v>ALEXIS VELASCO GUZMAN</v>
          </cell>
          <cell r="F281">
            <v>42810</v>
          </cell>
        </row>
        <row r="282">
          <cell r="A282" t="str">
            <v>16654618-4</v>
          </cell>
          <cell r="B282" t="str">
            <v>VELASQUEZ</v>
          </cell>
          <cell r="C282" t="str">
            <v>BAEZ</v>
          </cell>
          <cell r="D282" t="str">
            <v>STEPHANIE MARCELLE</v>
          </cell>
          <cell r="E282" t="str">
            <v>STEPHANIE MARCELLE VELASQUEZ BAEZ</v>
          </cell>
          <cell r="F282">
            <v>43617</v>
          </cell>
        </row>
        <row r="283">
          <cell r="A283" t="str">
            <v>17269361-K</v>
          </cell>
          <cell r="B283" t="str">
            <v>VERA</v>
          </cell>
          <cell r="C283" t="str">
            <v>VARGAS</v>
          </cell>
          <cell r="D283" t="str">
            <v>JAVIER</v>
          </cell>
          <cell r="E283" t="str">
            <v>JAVIER VERA VARGAS</v>
          </cell>
          <cell r="F283">
            <v>42492</v>
          </cell>
        </row>
        <row r="284">
          <cell r="A284" t="str">
            <v>18274432-8</v>
          </cell>
          <cell r="B284" t="str">
            <v>VERA</v>
          </cell>
          <cell r="C284" t="str">
            <v>VILLASECA</v>
          </cell>
          <cell r="D284" t="str">
            <v>GABRIEL</v>
          </cell>
          <cell r="E284" t="str">
            <v>GABRIEL VERA VILLASECA</v>
          </cell>
          <cell r="F284">
            <v>43009</v>
          </cell>
        </row>
        <row r="285">
          <cell r="A285" t="str">
            <v>19235353-k</v>
          </cell>
          <cell r="B285" t="str">
            <v>VERGARA</v>
          </cell>
          <cell r="C285" t="str">
            <v>RUBIO</v>
          </cell>
          <cell r="D285" t="str">
            <v>CRISTOPHER BENJAMIN</v>
          </cell>
          <cell r="E285" t="str">
            <v>CRISTOPHER BENJAMIN VERGARA RUBIO</v>
          </cell>
          <cell r="F285">
            <v>43684</v>
          </cell>
        </row>
        <row r="286">
          <cell r="A286" t="str">
            <v>19381292-9</v>
          </cell>
          <cell r="B286" t="str">
            <v xml:space="preserve">VILLAGRAN </v>
          </cell>
          <cell r="C286" t="str">
            <v>LAGOS</v>
          </cell>
          <cell r="D286" t="str">
            <v>BARBARA MARCELA</v>
          </cell>
          <cell r="E286" t="str">
            <v>BARBARA MARCELA VILLAGRAN  LAGOS</v>
          </cell>
          <cell r="F286">
            <v>43717</v>
          </cell>
        </row>
        <row r="287">
          <cell r="A287" t="str">
            <v>18032645-6</v>
          </cell>
          <cell r="B287" t="str">
            <v>VILLARROEL</v>
          </cell>
          <cell r="C287" t="str">
            <v>LOPEZ</v>
          </cell>
          <cell r="D287" t="str">
            <v>DIEGO</v>
          </cell>
          <cell r="E287" t="str">
            <v>DIEGO VILLARROEL LOPEZ</v>
          </cell>
          <cell r="F287">
            <v>43284</v>
          </cell>
        </row>
        <row r="288">
          <cell r="A288" t="str">
            <v>26709900-6</v>
          </cell>
          <cell r="B288" t="str">
            <v>VITTORI</v>
          </cell>
          <cell r="C288" t="str">
            <v>RUBIO</v>
          </cell>
          <cell r="D288" t="str">
            <v>PABLO</v>
          </cell>
          <cell r="E288" t="str">
            <v xml:space="preserve">PABLO VITTORI </v>
          </cell>
          <cell r="F288">
            <v>43514</v>
          </cell>
        </row>
        <row r="289">
          <cell r="A289" t="str">
            <v>17841365-1</v>
          </cell>
          <cell r="B289" t="str">
            <v>WALDEMAR</v>
          </cell>
          <cell r="C289" t="str">
            <v>OLIVARES</v>
          </cell>
          <cell r="D289" t="str">
            <v>RICHARD</v>
          </cell>
          <cell r="E289" t="str">
            <v>RICHARD WALDEMAR OLIVARES</v>
          </cell>
          <cell r="F289">
            <v>43122</v>
          </cell>
        </row>
        <row r="290">
          <cell r="A290" t="str">
            <v>19288617-1</v>
          </cell>
          <cell r="B290" t="str">
            <v>WALTER</v>
          </cell>
          <cell r="C290" t="str">
            <v>URRA</v>
          </cell>
          <cell r="D290" t="str">
            <v>BRYAN</v>
          </cell>
          <cell r="E290" t="str">
            <v>BRYAN WALTER URRA</v>
          </cell>
          <cell r="F290">
            <v>43160</v>
          </cell>
        </row>
        <row r="291">
          <cell r="A291" t="str">
            <v>18701172-8</v>
          </cell>
          <cell r="B291" t="str">
            <v>YAÑEZ</v>
          </cell>
          <cell r="C291" t="str">
            <v>QUINTANILLA</v>
          </cell>
          <cell r="D291" t="str">
            <v>CAMILA</v>
          </cell>
          <cell r="E291" t="str">
            <v>CAMILA YAÑEZ QUINTANILLA</v>
          </cell>
          <cell r="F291">
            <v>43080</v>
          </cell>
        </row>
        <row r="292">
          <cell r="A292" t="str">
            <v>18595577-K</v>
          </cell>
          <cell r="B292" t="str">
            <v>ZAMBRANO</v>
          </cell>
          <cell r="C292" t="str">
            <v>PAEZ</v>
          </cell>
          <cell r="D292" t="str">
            <v>MARIA ISABEL</v>
          </cell>
          <cell r="E292" t="str">
            <v>MARIA ISABEL ZAMBRANO PAEZ</v>
          </cell>
          <cell r="F292">
            <v>43556</v>
          </cell>
        </row>
        <row r="293">
          <cell r="A293" t="str">
            <v>17533490-4</v>
          </cell>
          <cell r="B293" t="str">
            <v>ZAMORA</v>
          </cell>
          <cell r="C293" t="str">
            <v>DE LA BARRA</v>
          </cell>
          <cell r="D293" t="str">
            <v>NICOLE</v>
          </cell>
          <cell r="E293" t="str">
            <v>NICOLE ZAMORA DE LA BARRA</v>
          </cell>
          <cell r="F293">
            <v>42618</v>
          </cell>
        </row>
        <row r="294">
          <cell r="A294" t="str">
            <v>16198296-2</v>
          </cell>
          <cell r="B294" t="str">
            <v>ZAMORANO</v>
          </cell>
          <cell r="C294" t="str">
            <v>GOMEZ</v>
          </cell>
          <cell r="D294" t="str">
            <v>SEBASTIAN</v>
          </cell>
          <cell r="E294" t="str">
            <v>SEBASTIAN ZAMORANO GOMEZ</v>
          </cell>
          <cell r="F294">
            <v>41764</v>
          </cell>
        </row>
        <row r="295">
          <cell r="A295" t="str">
            <v>18360660-3</v>
          </cell>
          <cell r="B295" t="str">
            <v>ZUÑIGA</v>
          </cell>
          <cell r="C295" t="str">
            <v>PALMA</v>
          </cell>
          <cell r="D295" t="str">
            <v>ANA</v>
          </cell>
          <cell r="E295" t="str">
            <v>ANA ZUÑIGA PALMA</v>
          </cell>
          <cell r="F295">
            <v>43256</v>
          </cell>
        </row>
        <row r="296">
          <cell r="A296" t="str">
            <v>17533490-4</v>
          </cell>
          <cell r="B296" t="str">
            <v>ZAMORA</v>
          </cell>
          <cell r="C296" t="str">
            <v>DE LA BARRA</v>
          </cell>
          <cell r="D296" t="str">
            <v>NICOLE</v>
          </cell>
          <cell r="E296" t="str">
            <v>NICOLE ZAMORA DE LA BARRA</v>
          </cell>
          <cell r="F296">
            <v>42618</v>
          </cell>
        </row>
        <row r="297">
          <cell r="A297" t="str">
            <v>16198296-2</v>
          </cell>
          <cell r="B297" t="str">
            <v>ZAMORANO</v>
          </cell>
          <cell r="C297" t="str">
            <v>GOMEZ</v>
          </cell>
          <cell r="D297" t="str">
            <v>SEBASTIAN</v>
          </cell>
          <cell r="E297" t="str">
            <v>SEBASTIAN ZAMORANO GOMEZ</v>
          </cell>
          <cell r="F297">
            <v>41764</v>
          </cell>
        </row>
        <row r="298">
          <cell r="A298" t="str">
            <v>18360660-3</v>
          </cell>
          <cell r="B298" t="str">
            <v>ZUÑIGA</v>
          </cell>
          <cell r="C298" t="str">
            <v>PALMA</v>
          </cell>
          <cell r="D298" t="str">
            <v>ANA</v>
          </cell>
          <cell r="E298" t="str">
            <v>ANA ZUÑIGA PALMA</v>
          </cell>
          <cell r="F298">
            <v>43256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Consulta"/>
      <sheetName val="BAJAS"/>
      <sheetName val="MODIFICACIONES"/>
      <sheetName val="Hoja1"/>
    </sheetNames>
    <sheetDataSet>
      <sheetData sheetId="0">
        <row r="1">
          <cell r="A1" t="str">
            <v>RUT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AF11-DB4D-42BA-91B0-6E8AAF0D5B73}">
  <dimension ref="A1:Z65"/>
  <sheetViews>
    <sheetView tabSelected="1" topLeftCell="A55" workbookViewId="0">
      <selection activeCell="G60" sqref="G60"/>
    </sheetView>
  </sheetViews>
  <sheetFormatPr baseColWidth="10" defaultRowHeight="15" x14ac:dyDescent="0.25"/>
  <cols>
    <col min="1" max="1" width="15.140625" customWidth="1"/>
    <col min="12" max="12" width="16.5703125" customWidth="1"/>
  </cols>
  <sheetData>
    <row r="1" spans="1:26" ht="56.25" customHeight="1" x14ac:dyDescent="0.25">
      <c r="A1" s="105" t="s">
        <v>63</v>
      </c>
      <c r="B1" s="106"/>
      <c r="C1" s="106"/>
      <c r="D1" s="106"/>
      <c r="E1" s="106"/>
      <c r="F1" s="106"/>
      <c r="G1" s="106"/>
      <c r="H1" s="106"/>
      <c r="I1" s="107"/>
    </row>
    <row r="2" spans="1:26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</row>
    <row r="3" spans="1:26" x14ac:dyDescent="0.25">
      <c r="A3" s="4" t="s">
        <v>64</v>
      </c>
      <c r="B3" s="102" t="s">
        <v>65</v>
      </c>
      <c r="C3" s="102"/>
      <c r="D3" s="4"/>
      <c r="E3" s="5"/>
      <c r="F3" s="4"/>
      <c r="G3" s="4"/>
      <c r="H3" s="4"/>
      <c r="I3" s="4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4" t="s">
        <v>66</v>
      </c>
      <c r="B4" s="102" t="s">
        <v>67</v>
      </c>
      <c r="C4" s="102"/>
      <c r="D4" s="4"/>
      <c r="E4" s="5"/>
      <c r="F4" s="4"/>
      <c r="G4" s="4"/>
      <c r="H4" s="4"/>
      <c r="I4" s="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4" t="s">
        <v>68</v>
      </c>
      <c r="B5" s="109" t="s">
        <v>69</v>
      </c>
      <c r="C5" s="109"/>
      <c r="D5" s="7"/>
      <c r="E5" s="5"/>
      <c r="F5" s="4"/>
      <c r="G5" s="4"/>
      <c r="H5" s="4"/>
      <c r="I5" s="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4" t="s">
        <v>70</v>
      </c>
      <c r="B6" s="102" t="s">
        <v>71</v>
      </c>
      <c r="C6" s="102"/>
      <c r="D6" s="4"/>
      <c r="E6" s="5"/>
      <c r="F6" s="4"/>
      <c r="G6" s="4"/>
      <c r="H6" s="4"/>
      <c r="I6" s="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4"/>
      <c r="B7" s="4"/>
      <c r="C7" s="4"/>
      <c r="D7" s="4"/>
      <c r="E7" s="5"/>
      <c r="F7" s="4"/>
      <c r="G7" s="4"/>
      <c r="H7" s="4"/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x14ac:dyDescent="0.25">
      <c r="A8" s="4"/>
      <c r="B8" s="4"/>
      <c r="C8" s="8" t="s">
        <v>72</v>
      </c>
      <c r="D8" s="4"/>
      <c r="E8" s="5"/>
      <c r="F8" s="4"/>
      <c r="G8" s="4"/>
      <c r="H8" s="4"/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4"/>
      <c r="B9" s="4"/>
      <c r="C9" s="4"/>
      <c r="D9" s="4"/>
      <c r="E9" s="5"/>
      <c r="F9" s="4"/>
      <c r="G9" s="4"/>
      <c r="H9" s="4"/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4" t="s">
        <v>73</v>
      </c>
      <c r="B10" s="100" t="s">
        <v>74</v>
      </c>
      <c r="C10" s="101"/>
      <c r="D10" s="4"/>
      <c r="E10" s="5"/>
      <c r="F10" s="4"/>
      <c r="G10" s="4"/>
      <c r="H10" s="4"/>
      <c r="I10" s="4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4" t="s">
        <v>75</v>
      </c>
      <c r="B11" s="102" t="s">
        <v>76</v>
      </c>
      <c r="C11" s="102"/>
      <c r="D11" s="4"/>
      <c r="E11" s="5"/>
      <c r="F11" s="4"/>
      <c r="G11" s="4"/>
      <c r="H11" s="4"/>
      <c r="I11" s="4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4" t="s">
        <v>77</v>
      </c>
      <c r="B12" s="103" t="s">
        <v>78</v>
      </c>
      <c r="C12" s="103"/>
      <c r="D12" s="4"/>
      <c r="E12" s="5"/>
      <c r="F12" s="4"/>
      <c r="G12" s="4"/>
      <c r="H12" s="4"/>
      <c r="I12" s="4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4"/>
      <c r="B13" s="4"/>
      <c r="C13" s="4"/>
      <c r="D13" s="4"/>
      <c r="E13" s="5"/>
      <c r="F13" s="4"/>
      <c r="G13" s="4"/>
      <c r="H13" s="4"/>
      <c r="I13" s="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4"/>
      <c r="B14" s="4"/>
      <c r="C14" s="4"/>
      <c r="D14" s="4"/>
      <c r="E14" s="5"/>
      <c r="F14" s="4"/>
      <c r="G14" s="4"/>
      <c r="H14" s="4"/>
      <c r="I14" s="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thickBot="1" x14ac:dyDescent="0.3">
      <c r="A15" s="9"/>
      <c r="B15" s="9" t="s">
        <v>79</v>
      </c>
      <c r="C15" s="9"/>
      <c r="D15" s="9"/>
      <c r="E15" s="10"/>
      <c r="F15" s="9"/>
      <c r="G15" s="9" t="s">
        <v>57</v>
      </c>
      <c r="H15" s="9"/>
      <c r="I15" s="9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7"/>
      <c r="B16" s="7"/>
      <c r="C16" s="7"/>
      <c r="D16" s="7"/>
      <c r="E16" s="11"/>
      <c r="F16" s="7"/>
      <c r="G16" s="7"/>
      <c r="H16" s="7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4"/>
      <c r="B17" s="4"/>
      <c r="C17" s="4"/>
      <c r="D17" s="4"/>
      <c r="E17" s="5"/>
      <c r="F17" s="4"/>
      <c r="G17" s="4"/>
      <c r="H17" s="4"/>
      <c r="I17" s="4"/>
      <c r="J17" s="6"/>
      <c r="K17" s="6"/>
      <c r="L17" s="6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 spans="1:26" x14ac:dyDescent="0.25">
      <c r="A18" s="4" t="s">
        <v>3</v>
      </c>
      <c r="B18" s="4"/>
      <c r="C18" s="12" t="s">
        <v>80</v>
      </c>
      <c r="D18" s="13">
        <v>500000</v>
      </c>
      <c r="E18" s="5"/>
      <c r="F18" s="4" t="s">
        <v>81</v>
      </c>
      <c r="G18" s="4"/>
      <c r="H18" s="14">
        <v>0.1144</v>
      </c>
      <c r="I18" s="15">
        <f>D22*H18</f>
        <v>69698.2</v>
      </c>
      <c r="J18" s="6"/>
      <c r="K18" s="6" t="s">
        <v>82</v>
      </c>
      <c r="L18" s="6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 spans="1:26" x14ac:dyDescent="0.25">
      <c r="A19" s="4" t="s">
        <v>83</v>
      </c>
      <c r="B19" s="4"/>
      <c r="C19" s="12" t="s">
        <v>80</v>
      </c>
      <c r="D19" s="16">
        <f>K19</f>
        <v>109250</v>
      </c>
      <c r="E19" s="5"/>
      <c r="F19" s="4" t="s">
        <v>84</v>
      </c>
      <c r="G19" s="4"/>
      <c r="H19" s="14">
        <v>6.0000000000000001E-3</v>
      </c>
      <c r="I19" s="15">
        <f>D22*H19</f>
        <v>3655.5</v>
      </c>
      <c r="J19" s="6"/>
      <c r="K19" s="17">
        <v>109250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104"/>
      <c r="W19" s="104"/>
      <c r="X19" s="104"/>
      <c r="Y19" s="6"/>
      <c r="Z19" s="6"/>
    </row>
    <row r="20" spans="1:26" x14ac:dyDescent="0.25">
      <c r="A20" s="4" t="s">
        <v>85</v>
      </c>
      <c r="B20" s="4"/>
      <c r="C20" s="12" t="s">
        <v>80</v>
      </c>
      <c r="D20" s="4"/>
      <c r="E20" s="5"/>
      <c r="F20" s="4" t="s">
        <v>86</v>
      </c>
      <c r="G20" s="4"/>
      <c r="H20" s="14">
        <v>7.0000000000000007E-2</v>
      </c>
      <c r="I20" s="15">
        <f>D22*H20</f>
        <v>42647.500000000007</v>
      </c>
      <c r="J20" s="6"/>
      <c r="K20" s="6"/>
      <c r="L20" s="6"/>
      <c r="M20" s="18"/>
      <c r="N20" s="18"/>
      <c r="O20" s="18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thickBot="1" x14ac:dyDescent="0.3">
      <c r="A21" s="20"/>
      <c r="B21" s="20"/>
      <c r="C21" s="21"/>
      <c r="D21" s="20"/>
      <c r="E21" s="22"/>
      <c r="F21" s="20"/>
      <c r="G21" s="20"/>
      <c r="H21" s="20"/>
      <c r="I21" s="20"/>
      <c r="J21" s="6"/>
      <c r="K21" s="6"/>
      <c r="L21" s="6"/>
      <c r="M21" s="6"/>
      <c r="N21" s="6"/>
      <c r="O21" s="23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x14ac:dyDescent="0.25">
      <c r="A22" s="7" t="s">
        <v>87</v>
      </c>
      <c r="B22" s="7"/>
      <c r="C22" s="25"/>
      <c r="D22" s="7">
        <f>SUM(D18:D21)</f>
        <v>609250</v>
      </c>
      <c r="E22" s="5"/>
      <c r="F22" s="7"/>
      <c r="G22" s="7"/>
      <c r="H22" s="7"/>
      <c r="I22" s="7">
        <f>SUM(I18:I21)</f>
        <v>116001.20000000001</v>
      </c>
      <c r="J22" s="6"/>
      <c r="K22" s="6"/>
      <c r="L22" s="6"/>
      <c r="M22" s="6"/>
      <c r="N22" s="6"/>
      <c r="O22" s="23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x14ac:dyDescent="0.25">
      <c r="A23" s="7"/>
      <c r="B23" s="7"/>
      <c r="C23" s="7"/>
      <c r="D23" s="7"/>
      <c r="E23" s="5"/>
      <c r="F23" s="7"/>
      <c r="G23" s="7"/>
      <c r="H23" s="7"/>
      <c r="I23" s="7"/>
      <c r="J23" s="6"/>
      <c r="K23" s="6"/>
      <c r="L23" s="6"/>
      <c r="M23" s="6"/>
      <c r="N23" s="6"/>
      <c r="O23" s="23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x14ac:dyDescent="0.25">
      <c r="A24" s="4"/>
      <c r="B24" s="4"/>
      <c r="C24" s="12"/>
      <c r="D24" s="4"/>
      <c r="E24" s="5"/>
      <c r="F24" s="4"/>
      <c r="G24" s="4"/>
      <c r="H24" s="12"/>
      <c r="I24" s="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4" t="s">
        <v>88</v>
      </c>
      <c r="B25" s="4"/>
      <c r="C25" s="12" t="s">
        <v>80</v>
      </c>
      <c r="D25" s="4">
        <v>0</v>
      </c>
      <c r="E25" s="5"/>
      <c r="F25" s="4" t="s">
        <v>89</v>
      </c>
      <c r="G25" s="4"/>
      <c r="H25" s="12" t="s">
        <v>80</v>
      </c>
      <c r="I25" s="4">
        <v>0</v>
      </c>
      <c r="J25" s="6"/>
      <c r="K25" s="6"/>
      <c r="L25" s="6"/>
      <c r="M25" s="6"/>
      <c r="N25" s="6"/>
      <c r="O25" s="26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x14ac:dyDescent="0.25">
      <c r="A26" s="4" t="s">
        <v>90</v>
      </c>
      <c r="B26" s="4"/>
      <c r="C26" s="12" t="s">
        <v>80</v>
      </c>
      <c r="D26" s="28">
        <v>30000</v>
      </c>
      <c r="E26" s="5"/>
      <c r="F26" s="4" t="s">
        <v>91</v>
      </c>
      <c r="G26" s="4"/>
      <c r="H26" s="12" t="s">
        <v>80</v>
      </c>
      <c r="I26" s="4">
        <v>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4" t="s">
        <v>92</v>
      </c>
      <c r="B27" s="4"/>
      <c r="C27" s="12" t="s">
        <v>80</v>
      </c>
      <c r="D27" s="29">
        <v>25000</v>
      </c>
      <c r="E27" s="5"/>
      <c r="F27" s="4" t="s">
        <v>93</v>
      </c>
      <c r="G27" s="4"/>
      <c r="H27" s="12" t="s">
        <v>80</v>
      </c>
      <c r="I27" s="4">
        <v>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thickBot="1" x14ac:dyDescent="0.3">
      <c r="A28" s="20"/>
      <c r="B28" s="20"/>
      <c r="C28" s="21"/>
      <c r="D28" s="20"/>
      <c r="E28" s="22"/>
      <c r="F28" s="20"/>
      <c r="G28" s="20"/>
      <c r="H28" s="21"/>
      <c r="I28" s="20"/>
      <c r="J28" s="6"/>
      <c r="K28" s="6"/>
      <c r="L28" s="6"/>
      <c r="M28" s="30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7" t="s">
        <v>94</v>
      </c>
      <c r="B29" s="7"/>
      <c r="C29" s="25" t="s">
        <v>80</v>
      </c>
      <c r="D29" s="7">
        <f>D22+D26+D27+D25</f>
        <v>664250</v>
      </c>
      <c r="E29" s="5"/>
      <c r="F29" s="6" t="s">
        <v>95</v>
      </c>
      <c r="G29" s="7"/>
      <c r="H29" s="25" t="s">
        <v>80</v>
      </c>
      <c r="I29" s="7">
        <f>SUM(I22:I27)</f>
        <v>116001.20000000001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7"/>
      <c r="B30" s="7"/>
      <c r="C30" s="25"/>
      <c r="D30" s="7"/>
      <c r="E30" s="5"/>
      <c r="F30" s="7"/>
      <c r="G30" s="7"/>
      <c r="H30" s="25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4"/>
      <c r="B31" s="4"/>
      <c r="C31" s="12"/>
      <c r="D31" s="4"/>
      <c r="E31" s="5"/>
      <c r="F31" s="4"/>
      <c r="G31" s="4"/>
      <c r="H31" s="12"/>
      <c r="I31" s="4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4" t="s">
        <v>96</v>
      </c>
      <c r="B32" s="4"/>
      <c r="C32" s="12"/>
      <c r="D32" s="4"/>
      <c r="E32" s="5"/>
      <c r="F32" s="4"/>
      <c r="G32" s="4"/>
      <c r="H32" s="12"/>
      <c r="I32" s="4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4"/>
      <c r="B33" s="4"/>
      <c r="C33" s="12"/>
      <c r="D33" s="4"/>
      <c r="E33" s="5"/>
      <c r="F33" s="4"/>
      <c r="G33" s="4"/>
      <c r="H33" s="12"/>
      <c r="I33" s="4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4" t="s">
        <v>97</v>
      </c>
      <c r="B34" s="4"/>
      <c r="C34" s="12" t="s">
        <v>80</v>
      </c>
      <c r="D34" s="4">
        <f>D22</f>
        <v>609250</v>
      </c>
      <c r="E34" s="5"/>
      <c r="F34" s="4"/>
      <c r="G34" s="4"/>
      <c r="H34" s="12"/>
      <c r="I34" s="4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thickBot="1" x14ac:dyDescent="0.3">
      <c r="A35" s="20" t="s">
        <v>98</v>
      </c>
      <c r="B35" s="20"/>
      <c r="C35" s="21" t="s">
        <v>80</v>
      </c>
      <c r="D35" s="20">
        <f>I22</f>
        <v>116001.20000000001</v>
      </c>
      <c r="E35" s="5"/>
      <c r="F35" s="4"/>
      <c r="G35" s="4"/>
      <c r="H35" s="12"/>
      <c r="I35" s="4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31"/>
      <c r="B36" s="31"/>
      <c r="C36" s="32"/>
      <c r="D36" s="31"/>
      <c r="E36" s="5"/>
      <c r="F36" s="4"/>
      <c r="G36" s="4"/>
      <c r="H36" s="12"/>
      <c r="I36" s="4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4" t="s">
        <v>99</v>
      </c>
      <c r="B37" s="4"/>
      <c r="C37" s="12" t="s">
        <v>80</v>
      </c>
      <c r="D37" s="4">
        <f>D22</f>
        <v>609250</v>
      </c>
      <c r="E37" s="5"/>
      <c r="F37" s="4"/>
      <c r="G37" s="4"/>
      <c r="H37" s="12"/>
      <c r="I37" s="4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4" t="s">
        <v>100</v>
      </c>
      <c r="B38" s="4"/>
      <c r="C38" s="12" t="s">
        <v>80</v>
      </c>
      <c r="D38" s="4">
        <v>0</v>
      </c>
      <c r="E38" s="5"/>
      <c r="F38" s="4"/>
      <c r="G38" s="4"/>
      <c r="H38" s="12"/>
      <c r="I38" s="4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4"/>
      <c r="B39" s="4"/>
      <c r="C39" s="4"/>
      <c r="D39" s="4"/>
      <c r="E39" s="5"/>
      <c r="F39" s="4"/>
      <c r="G39" s="4"/>
      <c r="H39" s="12"/>
      <c r="I39" s="4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thickBot="1" x14ac:dyDescent="0.3">
      <c r="A40" s="4"/>
      <c r="B40" s="4"/>
      <c r="C40" s="4"/>
      <c r="D40" s="4"/>
      <c r="E40" s="5"/>
      <c r="F40" s="4"/>
      <c r="G40" s="4"/>
      <c r="H40" s="12"/>
      <c r="I40" s="4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31"/>
      <c r="B41" s="31"/>
      <c r="C41" s="31"/>
      <c r="D41" s="31"/>
      <c r="E41" s="33"/>
      <c r="F41" s="31"/>
      <c r="G41" s="31"/>
      <c r="H41" s="32"/>
      <c r="I41" s="31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4"/>
      <c r="B42" s="4"/>
      <c r="C42" s="4"/>
      <c r="D42" s="4"/>
      <c r="E42" s="5"/>
      <c r="F42" s="4" t="s">
        <v>101</v>
      </c>
      <c r="G42" s="4"/>
      <c r="H42" s="12" t="s">
        <v>80</v>
      </c>
      <c r="I42" s="7">
        <f>+D29-I29</f>
        <v>548248.80000000005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4"/>
      <c r="B43" s="4"/>
      <c r="C43" s="4"/>
      <c r="D43" s="4"/>
      <c r="E43" s="5"/>
      <c r="F43" s="4" t="s">
        <v>102</v>
      </c>
      <c r="G43" s="4"/>
      <c r="H43" s="12" t="s">
        <v>80</v>
      </c>
      <c r="I43" s="7">
        <v>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4"/>
      <c r="B44" s="4"/>
      <c r="C44" s="4"/>
      <c r="D44" s="4"/>
      <c r="E44" s="5"/>
      <c r="F44" s="4" t="s">
        <v>103</v>
      </c>
      <c r="G44" s="4"/>
      <c r="H44" s="12" t="s">
        <v>80</v>
      </c>
      <c r="I44" s="34">
        <f>I42-I43</f>
        <v>548248.80000000005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4"/>
      <c r="B45" s="4"/>
      <c r="C45" s="4"/>
      <c r="D45" s="4"/>
      <c r="E45" s="5"/>
      <c r="F45" s="4"/>
      <c r="G45" s="4"/>
      <c r="H45" s="12"/>
      <c r="I45" s="4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4"/>
      <c r="B46" s="4"/>
      <c r="C46" s="4"/>
      <c r="D46" s="4"/>
      <c r="E46" s="5"/>
      <c r="F46" s="4"/>
      <c r="G46" s="4"/>
      <c r="H46" s="12"/>
      <c r="I46" s="4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4"/>
      <c r="B47" s="4"/>
      <c r="C47" s="4"/>
      <c r="D47" s="4"/>
      <c r="E47" s="5"/>
      <c r="F47" s="4"/>
      <c r="G47" s="4"/>
      <c r="H47" s="4"/>
      <c r="I47" s="4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4"/>
      <c r="B48" s="4"/>
      <c r="C48" s="4"/>
      <c r="D48" s="4"/>
      <c r="E48" s="5"/>
      <c r="F48" s="4"/>
      <c r="G48" s="4"/>
      <c r="H48" s="4"/>
      <c r="I48" s="4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4"/>
      <c r="B49" s="4"/>
      <c r="C49" s="4"/>
      <c r="D49" s="7"/>
      <c r="E49" s="11"/>
      <c r="F49" s="7" t="s">
        <v>104</v>
      </c>
      <c r="G49" s="7"/>
      <c r="H49" s="7"/>
      <c r="I49" s="4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4"/>
      <c r="B50" s="4"/>
      <c r="C50" s="4"/>
      <c r="D50" s="7"/>
      <c r="E50" s="11"/>
      <c r="F50" s="7" t="s">
        <v>105</v>
      </c>
      <c r="G50" s="7"/>
      <c r="H50" s="7"/>
      <c r="I50" s="4"/>
      <c r="J50" s="35"/>
      <c r="K50" s="35"/>
      <c r="L50" s="35"/>
      <c r="M50" s="35"/>
      <c r="N50" s="35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98" t="s">
        <v>106</v>
      </c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98" t="s">
        <v>107</v>
      </c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35"/>
      <c r="B58" s="35"/>
      <c r="C58" s="35"/>
      <c r="D58" s="35"/>
      <c r="E58" s="35"/>
      <c r="F58" s="35"/>
      <c r="G58" s="35"/>
      <c r="H58" s="35"/>
      <c r="I58" s="35"/>
      <c r="J58" s="99" t="s">
        <v>108</v>
      </c>
      <c r="K58" s="99"/>
      <c r="L58" s="99"/>
      <c r="M58" s="35"/>
      <c r="N58" s="35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4.75" x14ac:dyDescent="0.25">
      <c r="A59" s="36" t="s">
        <v>109</v>
      </c>
      <c r="B59" s="36" t="s">
        <v>110</v>
      </c>
      <c r="C59" s="36" t="s">
        <v>111</v>
      </c>
      <c r="D59" s="37" t="s">
        <v>112</v>
      </c>
      <c r="E59" s="37" t="s">
        <v>113</v>
      </c>
      <c r="F59" s="37" t="s">
        <v>114</v>
      </c>
      <c r="G59" s="37" t="s">
        <v>115</v>
      </c>
      <c r="H59" s="37" t="s">
        <v>116</v>
      </c>
      <c r="I59" s="37" t="s">
        <v>117</v>
      </c>
      <c r="J59" s="37" t="s">
        <v>81</v>
      </c>
      <c r="K59" s="37" t="s">
        <v>118</v>
      </c>
      <c r="L59" s="37" t="s">
        <v>119</v>
      </c>
      <c r="M59" s="37" t="s">
        <v>120</v>
      </c>
      <c r="N59" s="37" t="s">
        <v>121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4.75" x14ac:dyDescent="0.25">
      <c r="A60" s="38" t="s">
        <v>122</v>
      </c>
      <c r="B60" s="39" t="str">
        <f>B10</f>
        <v>Nombre Funcionario</v>
      </c>
      <c r="C60" s="39" t="str">
        <f>B11</f>
        <v>15.123.XXX-K</v>
      </c>
      <c r="D60" s="40">
        <f>D18</f>
        <v>500000</v>
      </c>
      <c r="E60" s="41">
        <f>D19</f>
        <v>109250</v>
      </c>
      <c r="F60" s="42">
        <f>SUM(D60:E60)</f>
        <v>609250</v>
      </c>
      <c r="G60" s="43">
        <f>D27</f>
        <v>25000</v>
      </c>
      <c r="H60" s="44">
        <f>D26</f>
        <v>30000</v>
      </c>
      <c r="I60" s="42">
        <f>SUM(F60:H60)</f>
        <v>664250</v>
      </c>
      <c r="J60" s="45">
        <f>I18</f>
        <v>69698.2</v>
      </c>
      <c r="K60" s="45">
        <f>I20</f>
        <v>42647.500000000007</v>
      </c>
      <c r="L60" s="45">
        <f>I19</f>
        <v>3655.5</v>
      </c>
      <c r="M60" s="46">
        <f>I43</f>
        <v>0</v>
      </c>
      <c r="N60" s="34">
        <f>+I60-J60-K60-L60-M60</f>
        <v>548248.80000000005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4.75" x14ac:dyDescent="0.25">
      <c r="A61" s="47" t="s">
        <v>122</v>
      </c>
      <c r="B61" s="48" t="s">
        <v>123</v>
      </c>
      <c r="C61" s="48" t="s">
        <v>124</v>
      </c>
      <c r="D61" s="42">
        <v>193000</v>
      </c>
      <c r="E61" s="42">
        <f>+D61*0.25</f>
        <v>48250</v>
      </c>
      <c r="F61" s="42">
        <f>SUM(D61:E61)</f>
        <v>241250</v>
      </c>
      <c r="G61" s="42">
        <v>25000</v>
      </c>
      <c r="H61" s="42">
        <v>30000</v>
      </c>
      <c r="I61" s="42">
        <f>SUM(F61:H61)</f>
        <v>296250</v>
      </c>
      <c r="J61" s="42">
        <f>+F61*0.1144</f>
        <v>27599</v>
      </c>
      <c r="K61" s="42">
        <f>+F61*0.07</f>
        <v>16887.5</v>
      </c>
      <c r="L61" s="42">
        <f>+F61*0.006</f>
        <v>1447.5</v>
      </c>
      <c r="M61" s="42">
        <v>0</v>
      </c>
      <c r="N61" s="42">
        <f>+I61-J61-K61-L61-M61</f>
        <v>250316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4.75" x14ac:dyDescent="0.25">
      <c r="A62" s="47" t="s">
        <v>122</v>
      </c>
      <c r="B62" s="48" t="s">
        <v>125</v>
      </c>
      <c r="C62" s="48" t="s">
        <v>126</v>
      </c>
      <c r="D62" s="42">
        <v>250000</v>
      </c>
      <c r="E62" s="42">
        <f>+D62*0.25</f>
        <v>62500</v>
      </c>
      <c r="F62" s="42">
        <f>SUM(D62:E62)</f>
        <v>312500</v>
      </c>
      <c r="G62" s="42">
        <v>25000</v>
      </c>
      <c r="H62" s="42">
        <v>30000</v>
      </c>
      <c r="I62" s="42">
        <f>SUM(F62:H62)</f>
        <v>367500</v>
      </c>
      <c r="J62" s="42">
        <f>+F62*0.1144</f>
        <v>35750</v>
      </c>
      <c r="K62" s="42">
        <f>+F62*0.07</f>
        <v>21875.000000000004</v>
      </c>
      <c r="L62" s="42">
        <f>+F62*0.006</f>
        <v>1875</v>
      </c>
      <c r="M62" s="42">
        <v>0</v>
      </c>
      <c r="N62" s="42">
        <f>+I62-J62-K62-L62-M62</f>
        <v>308000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35"/>
      <c r="B64" s="35"/>
      <c r="C64" s="26" t="s">
        <v>127</v>
      </c>
      <c r="D64" s="49">
        <f>SUM(D60:D62)</f>
        <v>943000</v>
      </c>
      <c r="E64" s="49">
        <f t="shared" ref="E64:N64" si="0">SUM(E60:E62)</f>
        <v>220000</v>
      </c>
      <c r="F64" s="49">
        <f t="shared" si="0"/>
        <v>1163000</v>
      </c>
      <c r="G64" s="49">
        <f t="shared" si="0"/>
        <v>75000</v>
      </c>
      <c r="H64" s="49">
        <f t="shared" si="0"/>
        <v>90000</v>
      </c>
      <c r="I64" s="49">
        <f t="shared" si="0"/>
        <v>1328000</v>
      </c>
      <c r="J64" s="49">
        <f t="shared" si="0"/>
        <v>133047.20000000001</v>
      </c>
      <c r="K64" s="49">
        <f t="shared" si="0"/>
        <v>81410.000000000015</v>
      </c>
      <c r="L64" s="49">
        <f t="shared" si="0"/>
        <v>6978</v>
      </c>
      <c r="M64" s="49">
        <f t="shared" si="0"/>
        <v>0</v>
      </c>
      <c r="N64" s="49">
        <f t="shared" si="0"/>
        <v>1106564.8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</sheetData>
  <mergeCells count="15">
    <mergeCell ref="B6:C6"/>
    <mergeCell ref="A1:I1"/>
    <mergeCell ref="A2:O2"/>
    <mergeCell ref="B3:C3"/>
    <mergeCell ref="B4:C4"/>
    <mergeCell ref="B5:C5"/>
    <mergeCell ref="A56:N56"/>
    <mergeCell ref="A57:N57"/>
    <mergeCell ref="J58:L58"/>
    <mergeCell ref="B10:C10"/>
    <mergeCell ref="B11:C11"/>
    <mergeCell ref="B12:C12"/>
    <mergeCell ref="M17:Z17"/>
    <mergeCell ref="M18:Z18"/>
    <mergeCell ref="V19:X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E23C-D6E5-4CA6-8BBF-14B378E7E666}">
  <dimension ref="A1:AA47"/>
  <sheetViews>
    <sheetView topLeftCell="A52" workbookViewId="0">
      <selection activeCell="T41" sqref="T41"/>
    </sheetView>
  </sheetViews>
  <sheetFormatPr baseColWidth="10" defaultColWidth="9.140625" defaultRowHeight="12" x14ac:dyDescent="0.2"/>
  <cols>
    <col min="1" max="1" width="2.85546875" style="1" bestFit="1" customWidth="1"/>
    <col min="2" max="2" width="23.42578125" style="1" customWidth="1"/>
    <col min="3" max="3" width="22.28515625" style="1" bestFit="1" customWidth="1"/>
    <col min="4" max="4" width="10.140625" style="1" bestFit="1" customWidth="1"/>
    <col min="5" max="5" width="2.85546875" style="1" customWidth="1"/>
    <col min="6" max="6" width="2.42578125" style="1" customWidth="1"/>
    <col min="7" max="7" width="9.140625" style="1"/>
    <col min="8" max="8" width="8" style="1" customWidth="1"/>
    <col min="9" max="9" width="7.85546875" style="1" customWidth="1"/>
    <col min="10" max="10" width="9.140625" style="1"/>
    <col min="11" max="11" width="7.42578125" style="1" customWidth="1"/>
    <col min="12" max="12" width="12" style="1" customWidth="1"/>
    <col min="13" max="13" width="5.42578125" style="1" bestFit="1" customWidth="1"/>
    <col min="14" max="14" width="13" style="2" customWidth="1"/>
    <col min="15" max="15" width="4.42578125" style="1" customWidth="1"/>
    <col min="16" max="16384" width="9.140625" style="1"/>
  </cols>
  <sheetData>
    <row r="1" spans="1:27" x14ac:dyDescent="0.2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x14ac:dyDescent="0.2">
      <c r="A2" s="50"/>
      <c r="B2" s="50"/>
      <c r="C2" s="50"/>
      <c r="D2" s="50"/>
      <c r="E2" s="50"/>
      <c r="F2" s="50"/>
      <c r="G2" s="51" t="s">
        <v>0</v>
      </c>
      <c r="H2" s="50"/>
      <c r="I2" s="50"/>
      <c r="J2" s="50"/>
      <c r="K2" s="50"/>
      <c r="L2" s="50"/>
      <c r="M2" s="50"/>
      <c r="N2" s="51"/>
      <c r="O2" s="50" t="s">
        <v>1</v>
      </c>
      <c r="P2" s="50">
        <v>28309.94</v>
      </c>
      <c r="Q2" s="50"/>
      <c r="R2" s="50" t="s">
        <v>2</v>
      </c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1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x14ac:dyDescent="0.2">
      <c r="A4" s="50"/>
      <c r="B4" s="50"/>
      <c r="C4" s="50"/>
      <c r="D4" s="50"/>
      <c r="E4" s="50"/>
      <c r="F4" s="50"/>
      <c r="G4" s="52" t="s">
        <v>3</v>
      </c>
      <c r="H4" s="53"/>
      <c r="I4" s="53"/>
      <c r="J4" s="53"/>
      <c r="K4" s="54"/>
      <c r="L4" s="53"/>
      <c r="M4" s="53"/>
      <c r="N4" s="55">
        <v>0</v>
      </c>
      <c r="O4" s="50"/>
      <c r="P4" s="50"/>
      <c r="Q4" s="50"/>
      <c r="R4" s="50" t="s">
        <v>4</v>
      </c>
      <c r="S4" s="50"/>
      <c r="T4" s="50"/>
      <c r="U4" s="50"/>
      <c r="V4" s="50"/>
      <c r="W4" s="50"/>
      <c r="X4" s="50"/>
      <c r="Y4" s="50"/>
      <c r="Z4" s="50"/>
      <c r="AA4" s="50"/>
    </row>
    <row r="5" spans="1:27" x14ac:dyDescent="0.2">
      <c r="A5" s="50"/>
      <c r="B5" s="50"/>
      <c r="C5" s="50"/>
      <c r="D5" s="50"/>
      <c r="E5" s="50"/>
      <c r="F5" s="50"/>
      <c r="G5" s="52" t="s">
        <v>5</v>
      </c>
      <c r="H5" s="53"/>
      <c r="I5" s="53"/>
      <c r="J5" s="53"/>
      <c r="K5" s="53"/>
      <c r="L5" s="53"/>
      <c r="M5" s="53"/>
      <c r="N5" s="55">
        <v>119146</v>
      </c>
      <c r="O5" s="50"/>
      <c r="P5" s="50"/>
      <c r="Q5" s="50"/>
      <c r="R5" s="50" t="s">
        <v>6</v>
      </c>
      <c r="S5" s="50"/>
      <c r="T5" s="50"/>
      <c r="U5" s="50"/>
      <c r="V5" s="50"/>
      <c r="W5" s="50"/>
      <c r="X5" s="50"/>
      <c r="Y5" s="50"/>
      <c r="Z5" s="50"/>
      <c r="AA5" s="50"/>
    </row>
    <row r="6" spans="1:27" x14ac:dyDescent="0.2">
      <c r="A6" s="56"/>
      <c r="B6" s="57"/>
      <c r="C6" s="57"/>
      <c r="D6" s="57"/>
      <c r="E6" s="58"/>
      <c r="F6" s="50"/>
      <c r="G6" s="52" t="s">
        <v>7</v>
      </c>
      <c r="H6" s="53"/>
      <c r="I6" s="53"/>
      <c r="J6" s="53"/>
      <c r="K6" s="53"/>
      <c r="L6" s="53"/>
      <c r="M6" s="53"/>
      <c r="N6" s="55">
        <v>67200</v>
      </c>
      <c r="O6" s="50"/>
      <c r="P6" s="50"/>
      <c r="Q6" s="50"/>
      <c r="R6" s="50" t="s">
        <v>8</v>
      </c>
      <c r="S6" s="50"/>
      <c r="T6" s="50"/>
      <c r="U6" s="50"/>
      <c r="V6" s="50"/>
      <c r="W6" s="50"/>
      <c r="X6" s="50"/>
      <c r="Y6" s="50"/>
      <c r="Z6" s="50"/>
      <c r="AA6" s="50"/>
    </row>
    <row r="7" spans="1:27" ht="12.75" x14ac:dyDescent="0.2">
      <c r="A7" s="59"/>
      <c r="B7" s="60" t="s">
        <v>9</v>
      </c>
      <c r="C7" s="50"/>
      <c r="D7" s="50"/>
      <c r="E7" s="61"/>
      <c r="F7" s="50"/>
      <c r="G7" s="52" t="s">
        <v>10</v>
      </c>
      <c r="H7" s="53"/>
      <c r="I7" s="53"/>
      <c r="J7" s="53"/>
      <c r="K7" s="53"/>
      <c r="L7" s="53"/>
      <c r="M7" s="53"/>
      <c r="N7" s="55">
        <f>+C19</f>
        <v>0</v>
      </c>
      <c r="O7" s="62"/>
      <c r="P7" s="50"/>
      <c r="Q7" s="50"/>
      <c r="R7" s="50" t="s">
        <v>11</v>
      </c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">
      <c r="A8" s="59"/>
      <c r="B8" s="50"/>
      <c r="C8" s="63"/>
      <c r="D8" s="63"/>
      <c r="E8" s="61"/>
      <c r="F8" s="50"/>
      <c r="G8" s="50"/>
      <c r="H8" s="50"/>
      <c r="I8" s="50"/>
      <c r="J8" s="50"/>
      <c r="K8" s="50"/>
      <c r="L8" s="50"/>
      <c r="M8" s="50"/>
      <c r="N8" s="64"/>
      <c r="O8" s="62"/>
      <c r="P8" s="50"/>
      <c r="Q8" s="50"/>
      <c r="R8" s="50" t="s">
        <v>12</v>
      </c>
      <c r="S8" s="50"/>
      <c r="T8" s="50"/>
      <c r="U8" s="50"/>
      <c r="V8" s="50"/>
      <c r="W8" s="50"/>
      <c r="X8" s="50"/>
      <c r="Y8" s="50"/>
      <c r="Z8" s="50"/>
      <c r="AA8" s="50"/>
    </row>
    <row r="9" spans="1:27" x14ac:dyDescent="0.2">
      <c r="A9" s="59"/>
      <c r="B9" s="65" t="s">
        <v>13</v>
      </c>
      <c r="C9" s="66" t="s">
        <v>62</v>
      </c>
      <c r="D9" s="50"/>
      <c r="E9" s="61"/>
      <c r="F9" s="50"/>
      <c r="G9" s="113" t="s">
        <v>14</v>
      </c>
      <c r="H9" s="114"/>
      <c r="I9" s="114"/>
      <c r="J9" s="114"/>
      <c r="K9" s="114"/>
      <c r="L9" s="115"/>
      <c r="M9" s="67">
        <v>0</v>
      </c>
      <c r="N9" s="55">
        <f>90*P2</f>
        <v>2547894.6</v>
      </c>
      <c r="O9" s="50" t="s">
        <v>15</v>
      </c>
      <c r="P9" s="50"/>
      <c r="Q9" s="50"/>
      <c r="R9" s="50" t="s">
        <v>16</v>
      </c>
      <c r="S9" s="50"/>
      <c r="T9" s="50"/>
      <c r="U9" s="50"/>
      <c r="V9" s="50"/>
      <c r="W9" s="50"/>
      <c r="X9" s="50"/>
      <c r="Y9" s="50"/>
      <c r="Z9" s="50"/>
      <c r="AA9" s="50"/>
    </row>
    <row r="10" spans="1:27" ht="15" x14ac:dyDescent="0.25">
      <c r="A10" s="59"/>
      <c r="B10" s="65" t="s">
        <v>17</v>
      </c>
      <c r="C10" s="68" t="s">
        <v>18</v>
      </c>
      <c r="D10" s="50"/>
      <c r="E10" s="61"/>
      <c r="F10" s="50"/>
      <c r="G10" s="113" t="s">
        <v>19</v>
      </c>
      <c r="H10" s="114"/>
      <c r="I10" s="114"/>
      <c r="J10" s="114"/>
      <c r="K10" s="114"/>
      <c r="L10" s="115"/>
      <c r="M10" s="67">
        <v>1</v>
      </c>
      <c r="N10" s="55">
        <f>(N4+N5+N6+N7)</f>
        <v>186346</v>
      </c>
      <c r="O10" s="50" t="s">
        <v>20</v>
      </c>
      <c r="P10" s="50"/>
      <c r="Q10" s="50"/>
      <c r="R10" s="50" t="s">
        <v>21</v>
      </c>
      <c r="S10" s="50"/>
      <c r="T10" s="50"/>
      <c r="U10" s="50"/>
      <c r="V10" s="50"/>
      <c r="W10" s="50"/>
      <c r="X10" s="50"/>
      <c r="Y10" s="50"/>
      <c r="Z10" s="50"/>
      <c r="AA10" s="50"/>
    </row>
    <row r="11" spans="1:27" x14ac:dyDescent="0.2">
      <c r="A11" s="59"/>
      <c r="B11" s="65" t="s">
        <v>22</v>
      </c>
      <c r="C11" s="66">
        <f>+VLOOKUP(C10,[1]Base!$A:$F,6,0)</f>
        <v>43284</v>
      </c>
      <c r="D11" s="50"/>
      <c r="E11" s="61"/>
      <c r="F11" s="50"/>
      <c r="G11" s="50" t="s">
        <v>23</v>
      </c>
      <c r="H11" s="50"/>
      <c r="I11" s="50"/>
      <c r="J11" s="50"/>
      <c r="K11" s="50"/>
      <c r="L11" s="50"/>
      <c r="M11" s="50"/>
      <c r="N11" s="64"/>
      <c r="O11" s="50"/>
      <c r="P11" s="50"/>
      <c r="Q11" s="50"/>
      <c r="R11" s="50" t="s">
        <v>24</v>
      </c>
      <c r="S11" s="50"/>
      <c r="T11" s="50"/>
      <c r="U11" s="50"/>
      <c r="V11" s="50"/>
      <c r="W11" s="50"/>
      <c r="X11" s="50"/>
      <c r="Y11" s="50"/>
      <c r="Z11" s="50"/>
      <c r="AA11" s="50"/>
    </row>
    <row r="12" spans="1:27" ht="24" x14ac:dyDescent="0.2">
      <c r="A12" s="59"/>
      <c r="B12" s="65" t="s">
        <v>25</v>
      </c>
      <c r="C12" s="69" t="s">
        <v>26</v>
      </c>
      <c r="D12" s="70"/>
      <c r="E12" s="61"/>
      <c r="F12" s="50"/>
      <c r="G12" s="113" t="s">
        <v>27</v>
      </c>
      <c r="H12" s="114"/>
      <c r="I12" s="114"/>
      <c r="J12" s="114"/>
      <c r="K12" s="114"/>
      <c r="L12" s="114"/>
      <c r="M12" s="115"/>
      <c r="N12" s="55">
        <f>N4+N7</f>
        <v>0</v>
      </c>
      <c r="O12" s="50"/>
      <c r="P12" s="50"/>
      <c r="Q12" s="50"/>
      <c r="R12" s="50" t="s">
        <v>28</v>
      </c>
      <c r="S12" s="50"/>
      <c r="T12" s="50"/>
      <c r="U12" s="50"/>
      <c r="V12" s="50"/>
      <c r="W12" s="50"/>
      <c r="X12" s="50"/>
      <c r="Y12" s="50"/>
      <c r="Z12" s="50"/>
      <c r="AA12" s="50"/>
    </row>
    <row r="13" spans="1:27" x14ac:dyDescent="0.2">
      <c r="A13" s="59"/>
      <c r="B13" s="50"/>
      <c r="C13" s="50"/>
      <c r="D13" s="70"/>
      <c r="E13" s="61"/>
      <c r="F13" s="50"/>
      <c r="G13" s="50" t="s">
        <v>29</v>
      </c>
      <c r="H13" s="50"/>
      <c r="I13" s="50"/>
      <c r="J13" s="50"/>
      <c r="K13" s="50"/>
      <c r="L13" s="50"/>
      <c r="M13" s="50"/>
      <c r="N13" s="64"/>
      <c r="O13" s="50"/>
      <c r="P13" s="50"/>
      <c r="Q13" s="50"/>
      <c r="R13" s="50" t="s">
        <v>30</v>
      </c>
      <c r="S13" s="50"/>
      <c r="T13" s="50"/>
      <c r="U13" s="50"/>
      <c r="V13" s="50"/>
      <c r="W13" s="50"/>
      <c r="X13" s="50"/>
      <c r="Y13" s="50"/>
      <c r="Z13" s="50"/>
      <c r="AA13" s="50"/>
    </row>
    <row r="14" spans="1:27" x14ac:dyDescent="0.2">
      <c r="A14" s="59"/>
      <c r="B14" s="50"/>
      <c r="C14" s="50"/>
      <c r="D14" s="71"/>
      <c r="E14" s="61"/>
      <c r="F14" s="50"/>
      <c r="G14" s="50"/>
      <c r="H14" s="50"/>
      <c r="I14" s="50"/>
      <c r="J14" s="50"/>
      <c r="K14" s="50"/>
      <c r="L14" s="50"/>
      <c r="M14" s="50"/>
      <c r="N14" s="64"/>
      <c r="O14" s="50"/>
      <c r="P14" s="50"/>
      <c r="Q14" s="50"/>
      <c r="R14" s="50" t="s">
        <v>31</v>
      </c>
      <c r="S14" s="50"/>
      <c r="T14" s="50"/>
      <c r="U14" s="50"/>
      <c r="V14" s="50"/>
      <c r="W14" s="50"/>
      <c r="X14" s="50"/>
      <c r="Y14" s="50"/>
      <c r="Z14" s="50"/>
      <c r="AA14" s="50"/>
    </row>
    <row r="15" spans="1:27" x14ac:dyDescent="0.2">
      <c r="A15" s="59"/>
      <c r="B15" s="50"/>
      <c r="C15" s="50"/>
      <c r="D15" s="50"/>
      <c r="E15" s="61"/>
      <c r="F15" s="50"/>
      <c r="G15" s="50"/>
      <c r="H15" s="50"/>
      <c r="I15" s="50"/>
      <c r="J15" s="50"/>
      <c r="K15" s="50"/>
      <c r="L15" s="50"/>
      <c r="M15" s="50"/>
      <c r="N15" s="64"/>
      <c r="O15" s="50"/>
      <c r="P15" s="50"/>
      <c r="Q15" s="50"/>
      <c r="R15" s="50" t="s">
        <v>32</v>
      </c>
      <c r="S15" s="50"/>
      <c r="T15" s="50"/>
      <c r="U15" s="50"/>
      <c r="V15" s="50"/>
      <c r="W15" s="50"/>
      <c r="X15" s="50"/>
      <c r="Y15" s="50"/>
      <c r="Z15" s="50"/>
      <c r="AA15" s="50"/>
    </row>
    <row r="16" spans="1:27" x14ac:dyDescent="0.2">
      <c r="A16" s="59"/>
      <c r="B16" s="50" t="s">
        <v>33</v>
      </c>
      <c r="C16" s="72">
        <v>0</v>
      </c>
      <c r="D16" s="73">
        <v>43727</v>
      </c>
      <c r="E16" s="61"/>
      <c r="F16" s="50"/>
      <c r="G16" s="51"/>
      <c r="H16" s="50"/>
      <c r="I16" s="50"/>
      <c r="J16" s="50"/>
      <c r="K16" s="50"/>
      <c r="L16" s="50"/>
      <c r="M16" s="50"/>
      <c r="N16" s="64"/>
      <c r="O16" s="50"/>
      <c r="P16" s="50"/>
      <c r="Q16" s="50"/>
      <c r="R16" s="50" t="s">
        <v>34</v>
      </c>
      <c r="S16" s="50"/>
      <c r="T16" s="50"/>
      <c r="U16" s="50"/>
      <c r="V16" s="50"/>
      <c r="W16" s="50"/>
      <c r="X16" s="50"/>
      <c r="Y16" s="50"/>
      <c r="Z16" s="50"/>
      <c r="AA16" s="50"/>
    </row>
    <row r="17" spans="1:27" x14ac:dyDescent="0.2">
      <c r="A17" s="59"/>
      <c r="B17" s="50"/>
      <c r="C17" s="72">
        <v>0</v>
      </c>
      <c r="D17" s="73">
        <v>43757</v>
      </c>
      <c r="E17" s="61"/>
      <c r="F17" s="50"/>
      <c r="G17" s="52" t="s">
        <v>35</v>
      </c>
      <c r="H17" s="53"/>
      <c r="I17" s="53"/>
      <c r="J17" s="53"/>
      <c r="K17" s="53"/>
      <c r="L17" s="53"/>
      <c r="M17" s="74">
        <f>D32</f>
        <v>7.04</v>
      </c>
      <c r="N17" s="55">
        <f>N12/30*M17</f>
        <v>0</v>
      </c>
      <c r="O17" s="50"/>
      <c r="P17" s="50"/>
      <c r="Q17" s="50"/>
      <c r="R17" s="50" t="s">
        <v>26</v>
      </c>
      <c r="S17" s="50"/>
      <c r="T17" s="50"/>
      <c r="U17" s="50"/>
      <c r="V17" s="50"/>
      <c r="W17" s="50"/>
      <c r="X17" s="50"/>
      <c r="Y17" s="50"/>
      <c r="Z17" s="50"/>
      <c r="AA17" s="50"/>
    </row>
    <row r="18" spans="1:27" x14ac:dyDescent="0.2">
      <c r="A18" s="59"/>
      <c r="B18" s="50"/>
      <c r="C18" s="72">
        <v>0</v>
      </c>
      <c r="D18" s="73">
        <v>43788</v>
      </c>
      <c r="E18" s="61"/>
      <c r="F18" s="50"/>
      <c r="G18" s="50" t="s">
        <v>36</v>
      </c>
      <c r="H18" s="50"/>
      <c r="I18" s="50"/>
      <c r="J18" s="50"/>
      <c r="K18" s="50"/>
      <c r="L18" s="50"/>
      <c r="M18" s="50"/>
      <c r="N18" s="64"/>
      <c r="O18" s="50"/>
      <c r="P18" s="50"/>
      <c r="Q18" s="50"/>
      <c r="R18" s="50" t="s">
        <v>37</v>
      </c>
      <c r="S18" s="50"/>
      <c r="T18" s="50"/>
      <c r="U18" s="50"/>
      <c r="V18" s="50"/>
      <c r="W18" s="50"/>
      <c r="X18" s="50"/>
      <c r="Y18" s="50"/>
      <c r="Z18" s="50"/>
      <c r="AA18" s="50"/>
    </row>
    <row r="19" spans="1:27" x14ac:dyDescent="0.2">
      <c r="A19" s="59"/>
      <c r="B19" s="50"/>
      <c r="C19" s="75">
        <f>+AVERAGE(C16:C18)</f>
        <v>0</v>
      </c>
      <c r="D19" s="50"/>
      <c r="E19" s="61"/>
      <c r="F19" s="50"/>
      <c r="G19" s="50"/>
      <c r="H19" s="50"/>
      <c r="I19" s="50"/>
      <c r="J19" s="50"/>
      <c r="K19" s="50"/>
      <c r="L19" s="50"/>
      <c r="M19" s="50"/>
      <c r="N19" s="64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</row>
    <row r="20" spans="1:27" x14ac:dyDescent="0.2">
      <c r="A20" s="59"/>
      <c r="B20" s="50"/>
      <c r="C20" s="50"/>
      <c r="D20" s="50"/>
      <c r="E20" s="61"/>
      <c r="F20" s="50"/>
      <c r="G20" s="52" t="s">
        <v>38</v>
      </c>
      <c r="H20" s="53"/>
      <c r="I20" s="53"/>
      <c r="J20" s="53"/>
      <c r="K20" s="53"/>
      <c r="L20" s="53"/>
      <c r="M20" s="67">
        <v>1</v>
      </c>
      <c r="N20" s="76">
        <f>+N10</f>
        <v>186346</v>
      </c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 spans="1:27" ht="12.75" x14ac:dyDescent="0.2">
      <c r="A21" s="59"/>
      <c r="B21" s="77" t="s">
        <v>39</v>
      </c>
      <c r="C21" s="78"/>
      <c r="D21" s="50"/>
      <c r="E21" s="79"/>
      <c r="F21" s="78"/>
      <c r="G21" s="50" t="s">
        <v>40</v>
      </c>
      <c r="H21" s="50"/>
      <c r="I21" s="50"/>
      <c r="J21" s="50"/>
      <c r="K21" s="50"/>
      <c r="L21" s="50"/>
      <c r="M21" s="50"/>
      <c r="N21" s="8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 spans="1:27" x14ac:dyDescent="0.2">
      <c r="A22" s="59"/>
      <c r="B22" s="50"/>
      <c r="C22" s="50"/>
      <c r="D22" s="50"/>
      <c r="E22" s="61"/>
      <c r="F22" s="50"/>
      <c r="G22" s="50"/>
      <c r="H22" s="50"/>
      <c r="I22" s="50"/>
      <c r="J22" s="50"/>
      <c r="K22" s="50"/>
      <c r="L22" s="50"/>
      <c r="M22" s="50"/>
      <c r="N22" s="8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 spans="1:27" ht="12.75" x14ac:dyDescent="0.2">
      <c r="A23" s="59"/>
      <c r="B23" s="81" t="s">
        <v>41</v>
      </c>
      <c r="C23" s="66"/>
      <c r="D23" s="82">
        <f>+C11</f>
        <v>43284</v>
      </c>
      <c r="E23" s="79"/>
      <c r="F23" s="78"/>
      <c r="G23" s="52" t="s">
        <v>42</v>
      </c>
      <c r="H23" s="53"/>
      <c r="I23" s="53"/>
      <c r="J23" s="53"/>
      <c r="K23" s="53"/>
      <c r="L23" s="53"/>
      <c r="M23" s="67">
        <v>1</v>
      </c>
      <c r="N23" s="76">
        <f>((N9*M9)+(N10*M10))*M23</f>
        <v>186346</v>
      </c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 spans="1:27" ht="12.75" x14ac:dyDescent="0.2">
      <c r="A24" s="59"/>
      <c r="B24" s="81" t="s">
        <v>43</v>
      </c>
      <c r="C24" s="66"/>
      <c r="D24" s="82">
        <v>43867</v>
      </c>
      <c r="E24" s="79"/>
      <c r="F24" s="78"/>
      <c r="G24" s="50" t="s">
        <v>40</v>
      </c>
      <c r="H24" s="50"/>
      <c r="I24" s="50"/>
      <c r="J24" s="50"/>
      <c r="K24" s="50"/>
      <c r="L24" s="50"/>
      <c r="M24" s="50" t="s">
        <v>44</v>
      </c>
      <c r="N24" s="8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 spans="1:27" ht="12.75" x14ac:dyDescent="0.2">
      <c r="A25" s="59"/>
      <c r="B25" s="81" t="s">
        <v>45</v>
      </c>
      <c r="C25" s="83">
        <v>1</v>
      </c>
      <c r="D25" s="84">
        <f>C25*15</f>
        <v>15</v>
      </c>
      <c r="E25" s="79"/>
      <c r="F25" s="78"/>
      <c r="G25" s="50"/>
      <c r="H25" s="50"/>
      <c r="I25" s="50"/>
      <c r="J25" s="50"/>
      <c r="K25" s="50"/>
      <c r="L25" s="50"/>
      <c r="M25" s="50"/>
      <c r="N25" s="8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 spans="1:27" ht="12.75" x14ac:dyDescent="0.2">
      <c r="A26" s="59"/>
      <c r="B26" s="81" t="s">
        <v>46</v>
      </c>
      <c r="C26" s="83">
        <v>7</v>
      </c>
      <c r="D26" s="84">
        <f>C26*1.25</f>
        <v>8.75</v>
      </c>
      <c r="E26" s="79"/>
      <c r="F26" s="78"/>
      <c r="G26" s="52" t="s">
        <v>47</v>
      </c>
      <c r="H26" s="53"/>
      <c r="I26" s="53"/>
      <c r="J26" s="53"/>
      <c r="K26" s="53"/>
      <c r="L26" s="53"/>
      <c r="M26" s="67">
        <v>0</v>
      </c>
      <c r="N26" s="85">
        <v>0</v>
      </c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 spans="1:27" ht="12.75" x14ac:dyDescent="0.2">
      <c r="A27" s="59"/>
      <c r="B27" s="81" t="s">
        <v>48</v>
      </c>
      <c r="C27" s="83">
        <v>6</v>
      </c>
      <c r="D27" s="84">
        <f>C27/30*1.25</f>
        <v>0.25</v>
      </c>
      <c r="E27" s="79"/>
      <c r="F27" s="78"/>
      <c r="G27" s="50" t="s">
        <v>49</v>
      </c>
      <c r="H27" s="50"/>
      <c r="I27" s="50"/>
      <c r="J27" s="50"/>
      <c r="K27" s="50"/>
      <c r="L27" s="50"/>
      <c r="M27" s="50"/>
      <c r="N27" s="8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</row>
    <row r="28" spans="1:27" ht="12.75" x14ac:dyDescent="0.2">
      <c r="A28" s="59"/>
      <c r="B28" s="81" t="s">
        <v>50</v>
      </c>
      <c r="C28" s="86"/>
      <c r="D28" s="84">
        <f>D25+D26+D27</f>
        <v>24</v>
      </c>
      <c r="E28" s="79"/>
      <c r="F28" s="78"/>
      <c r="G28" s="50"/>
      <c r="H28" s="50"/>
      <c r="I28" s="50"/>
      <c r="J28" s="50"/>
      <c r="K28" s="50"/>
      <c r="L28" s="50"/>
      <c r="M28" s="50"/>
      <c r="N28" s="8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</row>
    <row r="29" spans="1:27" ht="12.75" x14ac:dyDescent="0.2">
      <c r="A29" s="59"/>
      <c r="B29" s="81" t="s">
        <v>51</v>
      </c>
      <c r="C29" s="86"/>
      <c r="D29" s="87">
        <v>0</v>
      </c>
      <c r="E29" s="88"/>
      <c r="F29" s="89"/>
      <c r="G29" s="52" t="s">
        <v>52</v>
      </c>
      <c r="H29" s="53"/>
      <c r="I29" s="53"/>
      <c r="J29" s="53"/>
      <c r="K29" s="53"/>
      <c r="L29" s="53"/>
      <c r="M29" s="67">
        <v>0</v>
      </c>
      <c r="N29" s="90">
        <v>0</v>
      </c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</row>
    <row r="30" spans="1:27" ht="12.75" x14ac:dyDescent="0.2">
      <c r="A30" s="59"/>
      <c r="B30" s="81" t="s">
        <v>53</v>
      </c>
      <c r="C30" s="86"/>
      <c r="D30" s="87">
        <v>19</v>
      </c>
      <c r="E30" s="88"/>
      <c r="F30" s="89"/>
      <c r="G30" s="50"/>
      <c r="H30" s="50"/>
      <c r="I30" s="50"/>
      <c r="J30" s="50"/>
      <c r="K30" s="50"/>
      <c r="L30" s="50"/>
      <c r="M30" s="50"/>
      <c r="N30" s="8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spans="1:27" x14ac:dyDescent="0.2">
      <c r="A31" s="59"/>
      <c r="B31" s="65" t="s">
        <v>54</v>
      </c>
      <c r="C31" s="67"/>
      <c r="D31" s="91">
        <f>D28+D29-D30</f>
        <v>5</v>
      </c>
      <c r="E31" s="88"/>
      <c r="F31" s="89"/>
      <c r="G31" s="52" t="s">
        <v>55</v>
      </c>
      <c r="H31" s="53"/>
      <c r="I31" s="53"/>
      <c r="J31" s="53"/>
      <c r="K31" s="53"/>
      <c r="L31" s="53"/>
      <c r="M31" s="53"/>
      <c r="N31" s="76">
        <v>0</v>
      </c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27" x14ac:dyDescent="0.2">
      <c r="A32" s="59"/>
      <c r="B32" s="65" t="s">
        <v>56</v>
      </c>
      <c r="C32" s="67"/>
      <c r="D32" s="92">
        <v>7.04</v>
      </c>
      <c r="E32" s="61"/>
      <c r="F32" s="50"/>
      <c r="G32" s="50"/>
      <c r="H32" s="50"/>
      <c r="I32" s="50"/>
      <c r="J32" s="50"/>
      <c r="K32" s="50"/>
      <c r="L32" s="50"/>
      <c r="M32" s="50"/>
      <c r="N32" s="8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spans="1:27" x14ac:dyDescent="0.2">
      <c r="A33" s="93"/>
      <c r="B33" s="94"/>
      <c r="C33" s="94"/>
      <c r="D33" s="94"/>
      <c r="E33" s="95"/>
      <c r="F33" s="50"/>
      <c r="G33" s="96" t="s">
        <v>57</v>
      </c>
      <c r="H33" s="53"/>
      <c r="I33" s="53"/>
      <c r="J33" s="53"/>
      <c r="K33" s="53"/>
      <c r="L33" s="53"/>
      <c r="M33" s="53"/>
      <c r="N33" s="76">
        <f>+N26</f>
        <v>0</v>
      </c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  <row r="34" spans="1:27" x14ac:dyDescent="0.2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64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 spans="1:27" x14ac:dyDescent="0.2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1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</row>
    <row r="36" spans="1:27" x14ac:dyDescent="0.2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110" t="s">
        <v>58</v>
      </c>
      <c r="M36" s="110"/>
      <c r="N36" s="76">
        <f>N17</f>
        <v>0</v>
      </c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</row>
    <row r="37" spans="1:27" x14ac:dyDescent="0.2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110" t="s">
        <v>59</v>
      </c>
      <c r="M37" s="110"/>
      <c r="N37" s="76">
        <f>N20+N23</f>
        <v>372692</v>
      </c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</row>
    <row r="38" spans="1:27" x14ac:dyDescent="0.2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110" t="s">
        <v>57</v>
      </c>
      <c r="M38" s="110"/>
      <c r="N38" s="85">
        <f>N33</f>
        <v>0</v>
      </c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</row>
    <row r="39" spans="1:27" x14ac:dyDescent="0.2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1"/>
      <c r="M39" s="50"/>
      <c r="N39" s="51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</row>
    <row r="40" spans="1:27" x14ac:dyDescent="0.2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110" t="s">
        <v>60</v>
      </c>
      <c r="M40" s="110"/>
      <c r="N40" s="55">
        <v>0</v>
      </c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</row>
    <row r="41" spans="1:27" ht="12.75" thickBot="1" x14ac:dyDescent="0.2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1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</row>
    <row r="42" spans="1:27" ht="13.5" thickBot="1" x14ac:dyDescent="0.2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111" t="s">
        <v>61</v>
      </c>
      <c r="M42" s="112"/>
      <c r="N42" s="97">
        <f>+N36+N37+N40-N38</f>
        <v>372692</v>
      </c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</row>
    <row r="47" spans="1:27" x14ac:dyDescent="0.2">
      <c r="A47" s="3"/>
    </row>
  </sheetData>
  <mergeCells count="8">
    <mergeCell ref="L40:M40"/>
    <mergeCell ref="L42:M42"/>
    <mergeCell ref="G9:L9"/>
    <mergeCell ref="G10:L10"/>
    <mergeCell ref="G12:M12"/>
    <mergeCell ref="L36:M36"/>
    <mergeCell ref="L37:M37"/>
    <mergeCell ref="L38:M38"/>
  </mergeCells>
  <dataValidations count="1">
    <dataValidation type="list" allowBlank="1" showInputMessage="1" showErrorMessage="1" sqref="C12" xr:uid="{BE10EC1A-DD19-4C9C-A705-239E28324C90}">
      <formula1>$R$4:$R$17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 " error="El rut no esta en la base de datos" xr:uid="{BD6FF5A0-DF65-4E22-9E82-47544A19934A}">
          <x14:formula1>
            <xm:f>'C:\Users\fgonzalezc\Desktop\RESPALDO\[Control contratos Nubox.xlsx]Base'!#REF!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Liquidación de Sueldo</vt:lpstr>
      <vt:lpstr>Cálculo de Finiquito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</cp:lastModifiedBy>
  <cp:lastPrinted>2021-12-16T07:04:32Z</cp:lastPrinted>
  <dcterms:created xsi:type="dcterms:W3CDTF">2020-03-12T12:57:12Z</dcterms:created>
  <dcterms:modified xsi:type="dcterms:W3CDTF">2021-12-17T09:55:44Z</dcterms:modified>
</cp:coreProperties>
</file>