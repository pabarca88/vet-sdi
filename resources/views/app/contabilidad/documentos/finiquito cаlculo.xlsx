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laragon\www\dani\LABORATORIO\documentos\"/>
    </mc:Choice>
  </mc:AlternateContent>
  <xr:revisionPtr revIDLastSave="0" documentId="13_ncr:1_{0B2F2D41-D8C7-4F60-9AD7-18406D32DC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E80" i="1" s="1"/>
  <c r="D65" i="1"/>
  <c r="E62" i="1"/>
  <c r="E59" i="1"/>
  <c r="E67" i="1" s="1"/>
  <c r="E79" i="1" s="1"/>
  <c r="E58" i="1"/>
  <c r="D38" i="1"/>
  <c r="D37" i="1"/>
  <c r="D36" i="1"/>
  <c r="D35" i="1"/>
  <c r="D34" i="1"/>
  <c r="E65" i="1" l="1"/>
  <c r="E78" i="1" s="1"/>
  <c r="E83" i="1" s="1"/>
  <c r="D39" i="1"/>
  <c r="D42" i="1" s="1"/>
</calcChain>
</file>

<file path=xl/sharedStrings.xml><?xml version="1.0" encoding="utf-8"?>
<sst xmlns="http://schemas.openxmlformats.org/spreadsheetml/2006/main" count="86" uniqueCount="84">
  <si>
    <t>CÁLCULO DE FINIQUITO TRABAJADOR</t>
  </si>
  <si>
    <t>Centro Medico alto Bellavista</t>
  </si>
  <si>
    <t>76536234-k</t>
  </si>
  <si>
    <t>Dirección:</t>
  </si>
  <si>
    <t>las bellotas 45654</t>
  </si>
  <si>
    <t>Ciudad:</t>
  </si>
  <si>
    <t>Coquimbo</t>
  </si>
  <si>
    <t>Juan Jose Gutierrez Silva</t>
  </si>
  <si>
    <t xml:space="preserve">Rut </t>
  </si>
  <si>
    <t>6536234-k</t>
  </si>
  <si>
    <t xml:space="preserve">Causal </t>
  </si>
  <si>
    <t>PROMEDIOS VARIABLES</t>
  </si>
  <si>
    <t>Enero</t>
  </si>
  <si>
    <t>Febrero</t>
  </si>
  <si>
    <t>Marzo</t>
  </si>
  <si>
    <t>VACACIONES</t>
  </si>
  <si>
    <t>Ingreso</t>
  </si>
  <si>
    <t>Salida</t>
  </si>
  <si>
    <t>Años</t>
  </si>
  <si>
    <t>Meses</t>
  </si>
  <si>
    <t>Días</t>
  </si>
  <si>
    <t>Total</t>
  </si>
  <si>
    <t>Progresivos</t>
  </si>
  <si>
    <t>Dias Tomados</t>
  </si>
  <si>
    <t>Saldo (habiles)</t>
  </si>
  <si>
    <t>Saldo (habs+inhabs)</t>
  </si>
  <si>
    <t>CAUSALES LEGALES</t>
  </si>
  <si>
    <t>159-1</t>
  </si>
  <si>
    <t>159-2</t>
  </si>
  <si>
    <t>159-3</t>
  </si>
  <si>
    <t>159-4</t>
  </si>
  <si>
    <t>159-5</t>
  </si>
  <si>
    <t>159-6</t>
  </si>
  <si>
    <t>160-1</t>
  </si>
  <si>
    <t>160-2</t>
  </si>
  <si>
    <t>160-3</t>
  </si>
  <si>
    <t>160-4</t>
  </si>
  <si>
    <t>160-5</t>
  </si>
  <si>
    <t>160-6</t>
  </si>
  <si>
    <t>160-7</t>
  </si>
  <si>
    <t>MUTUO ACUERDO DE LAS PARTES</t>
  </si>
  <si>
    <t>RENUNCIA VOLUNTARIA DEL TRABAJADOR</t>
  </si>
  <si>
    <t>MUERTE DEL TRABAJADOR</t>
  </si>
  <si>
    <t>VENCIMIENTO DEL PLAZO DEL CONTRATO</t>
  </si>
  <si>
    <t>CASO FORTUITO O FUERZA MAYOR</t>
  </si>
  <si>
    <t>CONC DEL TRABAJO  (ORIGEN  CONTRATO)</t>
  </si>
  <si>
    <t>COND. INDEBIDAS O DE CARÁCTER GRAVE</t>
  </si>
  <si>
    <t xml:space="preserve">Negociaciones del Trab.dentro del Giro prohibidas en el contrato </t>
  </si>
  <si>
    <t>NO CONCURRENCIA DEL TRABAJADOR A SUS LABORES</t>
  </si>
  <si>
    <t>ABANDONO DEL TRABAJO POR PARTE DEL TRABAJADOR</t>
  </si>
  <si>
    <t>ACTOS O ACCIONES TEMERARIAS</t>
  </si>
  <si>
    <t>PERJUICIO MATERIAL CAUSADO INTENCIONALMENTE</t>
  </si>
  <si>
    <t>INCUMPLIMIENTO GRAVE DEL CONTRATO</t>
  </si>
  <si>
    <t>NECESIDADES DE LA EMPRESA</t>
  </si>
  <si>
    <t>DESAHUCIO ESCRITO DEL EMPLEADOR</t>
  </si>
  <si>
    <t>161-</t>
  </si>
  <si>
    <t>Rut Emp.:</t>
  </si>
  <si>
    <t>F. de Sal.</t>
  </si>
  <si>
    <t>Teléf.:</t>
  </si>
  <si>
    <t>Nombre Trab.</t>
  </si>
  <si>
    <t>Nombre Emp.</t>
  </si>
  <si>
    <t>F. de Ingreso</t>
  </si>
  <si>
    <t>DATOS PARA EL CÁLCULO DE FINIQUITO</t>
  </si>
  <si>
    <t>valor UF</t>
  </si>
  <si>
    <t>SUELDO BASE</t>
  </si>
  <si>
    <t>GRATIFICACIÓN LEGAL</t>
  </si>
  <si>
    <t>MOVILIZACIÓN Y COLACIÓN MES COMPLETO</t>
  </si>
  <si>
    <t>PROMEDIO VARIABLES 3 MESES ANTERIORES</t>
  </si>
  <si>
    <t>TOPE 90 UF</t>
  </si>
  <si>
    <t>PARA INDEMNIZACIÓN</t>
  </si>
  <si>
    <t>gratificación legal PARA VACACIONES( locom., colación, sueldo base)</t>
  </si>
  <si>
    <t>(Sueldo base+ promedio últ 3 meses)</t>
  </si>
  <si>
    <t>VACACIONES PROPORCIONALES</t>
  </si>
  <si>
    <t>MES DE AVISO</t>
  </si>
  <si>
    <t>c/t</t>
  </si>
  <si>
    <t>s/t</t>
  </si>
  <si>
    <t>APORTE EMPLEADOR AL SEGURO DE CESANTIA</t>
  </si>
  <si>
    <t>INDEMNIZACIÓN ACORDADA</t>
  </si>
  <si>
    <t>REMUNERACION MES EN CURSO</t>
  </si>
  <si>
    <t>DESCUENTOS</t>
  </si>
  <si>
    <t>INDEMNIZACIÓN</t>
  </si>
  <si>
    <t>MES EN CURSO</t>
  </si>
  <si>
    <t>TOTAL DEL FINIQUITO</t>
  </si>
  <si>
    <t>(último sueldo base + gratificación legal + promedio 3 últimos comisiones y bonos)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</si>
</sst>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left"/>
    </xf>
    <xf numFmtId="14" fontId="2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  <xf numFmtId="14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14" fontId="2" fillId="0" borderId="1" xfId="0" applyNumberFormat="1" applyFont="1" applyBorder="1"/>
    <xf numFmtId="14" fontId="6" fillId="0" borderId="0" xfId="0" applyNumberFormat="1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/>
    <xf numFmtId="0" fontId="6" fillId="0" borderId="0" xfId="0" applyFont="1" applyBorder="1" applyAlignment="1"/>
    <xf numFmtId="14" fontId="6" fillId="0" borderId="0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14" fontId="6" fillId="0" borderId="0" xfId="0" applyNumberFormat="1" applyFont="1" applyBorder="1" applyAlignment="1">
      <alignment wrapText="1"/>
    </xf>
    <xf numFmtId="0" fontId="6" fillId="0" borderId="0" xfId="0" applyFont="1" applyBorder="1" applyAlignment="1">
      <alignment wrapText="1"/>
    </xf>
    <xf numFmtId="14" fontId="2" fillId="0" borderId="0" xfId="0" applyNumberFormat="1" applyFont="1" applyBorder="1" applyAlignment="1">
      <alignment horizontal="left"/>
    </xf>
    <xf numFmtId="14" fontId="2" fillId="0" borderId="0" xfId="0" applyNumberFormat="1" applyFont="1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0" xfId="0" applyFont="1" applyBorder="1"/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6" fillId="0" borderId="2" xfId="0" applyFont="1" applyBorder="1"/>
    <xf numFmtId="0" fontId="0" fillId="0" borderId="2" xfId="0" applyBorder="1"/>
    <xf numFmtId="0" fontId="0" fillId="0" borderId="1" xfId="0" applyBorder="1"/>
    <xf numFmtId="0" fontId="1" fillId="0" borderId="2" xfId="0" applyFont="1" applyBorder="1"/>
    <xf numFmtId="14" fontId="2" fillId="0" borderId="2" xfId="0" applyNumberFormat="1" applyFont="1" applyBorder="1" applyAlignment="1">
      <alignment horizontal="left"/>
    </xf>
    <xf numFmtId="14" fontId="2" fillId="0" borderId="2" xfId="0" applyNumberFormat="1" applyFont="1" applyBorder="1"/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7" fontId="0" fillId="0" borderId="0" xfId="0" applyNumberFormat="1"/>
    <xf numFmtId="0" fontId="0" fillId="0" borderId="0" xfId="0" applyBorder="1" applyAlignment="1">
      <alignment wrapText="1"/>
    </xf>
    <xf numFmtId="14" fontId="0" fillId="0" borderId="0" xfId="0" applyNumberFormat="1" applyBorder="1" applyAlignment="1"/>
    <xf numFmtId="0" fontId="0" fillId="0" borderId="0" xfId="0" applyAlignment="1"/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/>
    <xf numFmtId="167" fontId="0" fillId="0" borderId="2" xfId="0" applyNumberFormat="1" applyBorder="1"/>
  </cellXfs>
  <cellStyles count="2">
    <cellStyle name="Normal" xfId="0" builtinId="0"/>
    <cellStyle name="Normal 2" xfId="1" xr:uid="{3BD1835D-D9AD-48D7-8015-09F750D0A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0</xdr:rowOff>
    </xdr:from>
    <xdr:to>
      <xdr:col>2</xdr:col>
      <xdr:colOff>123825</xdr:colOff>
      <xdr:row>3</xdr:row>
      <xdr:rowOff>66675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C499A4-8546-4F34-95EC-85437B639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0"/>
          <a:ext cx="17716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85"/>
  <sheetViews>
    <sheetView tabSelected="1" topLeftCell="A61" workbookViewId="0">
      <selection activeCell="G81" sqref="G81"/>
    </sheetView>
  </sheetViews>
  <sheetFormatPr baseColWidth="10" defaultColWidth="9.140625" defaultRowHeight="15" x14ac:dyDescent="0.25"/>
  <cols>
    <col min="1" max="1" width="14.42578125" customWidth="1"/>
    <col min="2" max="2" width="27.85546875" customWidth="1"/>
    <col min="3" max="3" width="9.7109375" customWidth="1"/>
    <col min="4" max="4" width="10.5703125" customWidth="1"/>
    <col min="5" max="5" width="10.42578125" customWidth="1"/>
    <col min="6" max="6" width="16.85546875" customWidth="1"/>
  </cols>
  <sheetData>
    <row r="5" spans="1:9" x14ac:dyDescent="0.25">
      <c r="A5" s="2" t="s">
        <v>0</v>
      </c>
      <c r="B5" s="2"/>
      <c r="C5" s="2"/>
      <c r="D5" s="2"/>
      <c r="E5" s="5"/>
      <c r="F5" s="5"/>
      <c r="G5" s="5"/>
      <c r="H5" s="5"/>
      <c r="I5" s="5"/>
    </row>
    <row r="6" spans="1:9" x14ac:dyDescent="0.25">
      <c r="A6" s="11" t="s">
        <v>60</v>
      </c>
      <c r="B6" s="32" t="s">
        <v>1</v>
      </c>
      <c r="C6" s="11" t="s">
        <v>56</v>
      </c>
      <c r="D6" s="32" t="s">
        <v>2</v>
      </c>
      <c r="E6" s="32"/>
      <c r="F6" s="32"/>
    </row>
    <row r="7" spans="1:9" x14ac:dyDescent="0.25">
      <c r="A7" s="14" t="s">
        <v>3</v>
      </c>
      <c r="B7" s="19" t="s">
        <v>4</v>
      </c>
      <c r="C7" s="14" t="s">
        <v>58</v>
      </c>
      <c r="D7" s="25">
        <v>555445556</v>
      </c>
      <c r="E7" s="19"/>
      <c r="F7" s="19"/>
    </row>
    <row r="8" spans="1:9" x14ac:dyDescent="0.25">
      <c r="A8" s="14" t="s">
        <v>5</v>
      </c>
      <c r="B8" s="19" t="s">
        <v>6</v>
      </c>
      <c r="C8" s="19"/>
      <c r="D8" s="19"/>
      <c r="E8" s="19"/>
      <c r="F8" s="19"/>
    </row>
    <row r="9" spans="1:9" x14ac:dyDescent="0.25">
      <c r="A9" s="19"/>
      <c r="B9" s="19"/>
      <c r="C9" s="19"/>
      <c r="D9" s="19"/>
      <c r="E9" s="19"/>
      <c r="F9" s="19"/>
    </row>
    <row r="10" spans="1:9" x14ac:dyDescent="0.25">
      <c r="A10" s="14" t="s">
        <v>59</v>
      </c>
      <c r="B10" s="19" t="s">
        <v>7</v>
      </c>
      <c r="C10" s="14" t="s">
        <v>8</v>
      </c>
      <c r="D10" s="19" t="s">
        <v>9</v>
      </c>
      <c r="E10" s="19"/>
      <c r="F10" s="19"/>
    </row>
    <row r="11" spans="1:9" ht="15.75" thickBot="1" x14ac:dyDescent="0.3">
      <c r="A11" s="33" t="s">
        <v>61</v>
      </c>
      <c r="B11" s="34">
        <v>43090</v>
      </c>
      <c r="C11" s="33" t="s">
        <v>57</v>
      </c>
      <c r="D11" s="35">
        <v>43935</v>
      </c>
      <c r="E11" s="33" t="s">
        <v>10</v>
      </c>
      <c r="F11" s="36">
        <v>161</v>
      </c>
    </row>
    <row r="12" spans="1:9" x14ac:dyDescent="0.25">
      <c r="A12" s="3"/>
      <c r="B12" s="6"/>
      <c r="C12" s="3"/>
      <c r="D12" s="7"/>
      <c r="E12" s="3"/>
      <c r="F12" s="4"/>
    </row>
    <row r="13" spans="1:9" x14ac:dyDescent="0.25">
      <c r="A13" s="14"/>
      <c r="B13" s="23"/>
      <c r="C13" s="14"/>
      <c r="D13" s="24"/>
      <c r="E13" s="14"/>
      <c r="F13" s="25"/>
    </row>
    <row r="14" spans="1:9" ht="15.75" x14ac:dyDescent="0.25">
      <c r="A14" s="11"/>
      <c r="B14" s="10" t="s">
        <v>26</v>
      </c>
      <c r="C14" s="11"/>
      <c r="D14" s="12"/>
      <c r="E14" s="11"/>
      <c r="F14" s="28"/>
    </row>
    <row r="15" spans="1:9" x14ac:dyDescent="0.25">
      <c r="A15" s="26" t="s">
        <v>27</v>
      </c>
      <c r="B15" s="13" t="s">
        <v>40</v>
      </c>
      <c r="C15" s="14" t="s">
        <v>33</v>
      </c>
      <c r="D15" s="15" t="s">
        <v>46</v>
      </c>
      <c r="E15" s="16"/>
      <c r="F15" s="16"/>
    </row>
    <row r="16" spans="1:9" x14ac:dyDescent="0.25">
      <c r="A16" s="26" t="s">
        <v>28</v>
      </c>
      <c r="B16" s="13" t="s">
        <v>41</v>
      </c>
      <c r="C16" s="14" t="s">
        <v>34</v>
      </c>
      <c r="D16" s="17" t="s">
        <v>47</v>
      </c>
      <c r="E16" s="18"/>
      <c r="F16" s="18"/>
    </row>
    <row r="17" spans="1:12" x14ac:dyDescent="0.25">
      <c r="A17" s="26" t="s">
        <v>29</v>
      </c>
      <c r="B17" s="13" t="s">
        <v>42</v>
      </c>
      <c r="C17" s="19"/>
      <c r="D17" s="18"/>
      <c r="E17" s="18"/>
      <c r="F17" s="18"/>
    </row>
    <row r="18" spans="1:12" x14ac:dyDescent="0.25">
      <c r="A18" s="26" t="s">
        <v>30</v>
      </c>
      <c r="B18" s="13" t="s">
        <v>43</v>
      </c>
      <c r="C18" s="14" t="s">
        <v>35</v>
      </c>
      <c r="D18" s="15" t="s">
        <v>48</v>
      </c>
      <c r="E18" s="20"/>
      <c r="F18" s="20"/>
    </row>
    <row r="19" spans="1:12" x14ac:dyDescent="0.25">
      <c r="A19" s="26" t="s">
        <v>31</v>
      </c>
      <c r="B19" s="13" t="s">
        <v>45</v>
      </c>
      <c r="C19" s="14" t="s">
        <v>36</v>
      </c>
      <c r="D19" s="15" t="s">
        <v>49</v>
      </c>
      <c r="E19" s="20"/>
      <c r="F19" s="20"/>
    </row>
    <row r="20" spans="1:12" x14ac:dyDescent="0.25">
      <c r="A20" s="26" t="s">
        <v>32</v>
      </c>
      <c r="B20" s="13" t="s">
        <v>44</v>
      </c>
      <c r="C20" s="14" t="s">
        <v>37</v>
      </c>
      <c r="D20" s="15" t="s">
        <v>50</v>
      </c>
      <c r="E20" s="20"/>
      <c r="F20" s="20"/>
    </row>
    <row r="21" spans="1:12" x14ac:dyDescent="0.25">
      <c r="A21" s="26"/>
      <c r="B21" s="13"/>
      <c r="C21" s="14" t="s">
        <v>38</v>
      </c>
      <c r="D21" s="15" t="s">
        <v>51</v>
      </c>
      <c r="E21" s="20"/>
      <c r="F21" s="20"/>
    </row>
    <row r="22" spans="1:12" x14ac:dyDescent="0.25">
      <c r="A22" s="26">
        <v>161</v>
      </c>
      <c r="B22" s="13" t="s">
        <v>53</v>
      </c>
      <c r="C22" s="14" t="s">
        <v>39</v>
      </c>
      <c r="D22" s="21" t="s">
        <v>52</v>
      </c>
      <c r="E22" s="22"/>
      <c r="F22" s="22"/>
      <c r="L22" s="19"/>
    </row>
    <row r="23" spans="1:12" ht="15.75" thickBot="1" x14ac:dyDescent="0.3">
      <c r="A23" s="29" t="s">
        <v>55</v>
      </c>
      <c r="B23" s="30" t="s">
        <v>54</v>
      </c>
      <c r="C23" s="31"/>
      <c r="D23" s="31"/>
      <c r="E23" s="31"/>
      <c r="F23" s="31"/>
      <c r="L23" s="19"/>
    </row>
    <row r="24" spans="1:12" x14ac:dyDescent="0.25">
      <c r="A24" s="26"/>
      <c r="B24" s="27"/>
      <c r="C24" s="19"/>
      <c r="D24" s="19"/>
      <c r="E24" s="19"/>
      <c r="F24" s="19"/>
    </row>
    <row r="25" spans="1:12" x14ac:dyDescent="0.25">
      <c r="A25" s="26"/>
      <c r="B25" s="27"/>
      <c r="C25" s="19"/>
      <c r="D25" s="19"/>
      <c r="E25" s="19"/>
      <c r="F25" s="19"/>
    </row>
    <row r="26" spans="1:12" x14ac:dyDescent="0.25">
      <c r="A26" s="32"/>
      <c r="B26" s="37" t="s">
        <v>11</v>
      </c>
      <c r="C26" s="32"/>
      <c r="D26" s="32"/>
      <c r="E26" s="32"/>
      <c r="F26" s="32"/>
    </row>
    <row r="27" spans="1:12" x14ac:dyDescent="0.25">
      <c r="A27" s="19"/>
      <c r="B27" s="19" t="s">
        <v>12</v>
      </c>
      <c r="C27" s="19">
        <v>0</v>
      </c>
      <c r="D27" s="19"/>
      <c r="E27" s="19"/>
      <c r="F27" s="19"/>
    </row>
    <row r="28" spans="1:12" x14ac:dyDescent="0.25">
      <c r="A28" s="19"/>
      <c r="B28" s="19" t="s">
        <v>13</v>
      </c>
      <c r="C28" s="19">
        <v>0</v>
      </c>
      <c r="D28" s="19"/>
      <c r="E28" s="19"/>
      <c r="F28" s="19"/>
    </row>
    <row r="29" spans="1:12" ht="15.75" thickBot="1" x14ac:dyDescent="0.3">
      <c r="A29" s="31"/>
      <c r="B29" s="31" t="s">
        <v>14</v>
      </c>
      <c r="C29" s="31">
        <v>0</v>
      </c>
      <c r="D29" s="31"/>
      <c r="E29" s="31"/>
      <c r="F29" s="31"/>
    </row>
    <row r="32" spans="1:12" x14ac:dyDescent="0.25">
      <c r="J32" s="19"/>
    </row>
    <row r="33" spans="1:14" x14ac:dyDescent="0.25">
      <c r="A33" s="32"/>
      <c r="B33" s="37" t="s">
        <v>15</v>
      </c>
      <c r="C33" s="28"/>
      <c r="D33" s="28"/>
      <c r="E33" s="32"/>
      <c r="F33" s="32"/>
    </row>
    <row r="34" spans="1:14" x14ac:dyDescent="0.25">
      <c r="A34" s="40" t="s">
        <v>16</v>
      </c>
      <c r="B34" s="9"/>
      <c r="C34" s="19"/>
      <c r="D34" s="41">
        <f>+B11</f>
        <v>43090</v>
      </c>
      <c r="E34" s="1"/>
      <c r="F34" s="19"/>
    </row>
    <row r="35" spans="1:14" x14ac:dyDescent="0.25">
      <c r="A35" s="20" t="s">
        <v>17</v>
      </c>
      <c r="B35" s="1"/>
      <c r="C35" s="19"/>
      <c r="D35" s="41">
        <f>+D11</f>
        <v>43935</v>
      </c>
      <c r="E35" s="1"/>
      <c r="F35" s="19"/>
    </row>
    <row r="36" spans="1:14" x14ac:dyDescent="0.25">
      <c r="A36" s="20" t="s">
        <v>18</v>
      </c>
      <c r="B36" s="1"/>
      <c r="C36" s="38">
        <v>2</v>
      </c>
      <c r="D36" s="20">
        <f>C36*15</f>
        <v>30</v>
      </c>
      <c r="E36" s="1"/>
      <c r="F36" s="19"/>
    </row>
    <row r="37" spans="1:14" x14ac:dyDescent="0.25">
      <c r="A37" s="20" t="s">
        <v>19</v>
      </c>
      <c r="B37" s="1"/>
      <c r="C37" s="38">
        <v>3</v>
      </c>
      <c r="D37" s="20">
        <f>C37*1.25</f>
        <v>3.75</v>
      </c>
      <c r="E37" s="1"/>
      <c r="F37" s="19"/>
    </row>
    <row r="38" spans="1:14" x14ac:dyDescent="0.25">
      <c r="A38" s="20" t="s">
        <v>20</v>
      </c>
      <c r="B38" s="1"/>
      <c r="C38" s="38">
        <v>21</v>
      </c>
      <c r="D38" s="20">
        <f>C38/30*1.25</f>
        <v>0.875</v>
      </c>
      <c r="E38" s="1"/>
      <c r="F38" s="19"/>
    </row>
    <row r="39" spans="1:14" x14ac:dyDescent="0.25">
      <c r="A39" s="20" t="s">
        <v>21</v>
      </c>
      <c r="B39" s="1"/>
      <c r="C39" s="19"/>
      <c r="D39" s="20">
        <f>D36+D37+D38</f>
        <v>34.625</v>
      </c>
      <c r="E39" s="1"/>
      <c r="F39" s="19"/>
    </row>
    <row r="40" spans="1:14" x14ac:dyDescent="0.25">
      <c r="A40" s="20" t="s">
        <v>22</v>
      </c>
      <c r="B40" s="1"/>
      <c r="C40" s="19"/>
      <c r="D40" s="20">
        <v>0</v>
      </c>
      <c r="E40" s="1"/>
      <c r="F40" s="19"/>
      <c r="N40" s="19"/>
    </row>
    <row r="41" spans="1:14" x14ac:dyDescent="0.25">
      <c r="A41" s="20" t="s">
        <v>23</v>
      </c>
      <c r="B41" s="1"/>
      <c r="C41" s="19"/>
      <c r="D41" s="20">
        <v>15</v>
      </c>
      <c r="E41" s="1"/>
      <c r="F41" s="19"/>
      <c r="N41" s="19"/>
    </row>
    <row r="42" spans="1:14" x14ac:dyDescent="0.25">
      <c r="A42" s="20" t="s">
        <v>24</v>
      </c>
      <c r="B42" s="1"/>
      <c r="C42" s="19"/>
      <c r="D42" s="20">
        <f>D39+D40-D41</f>
        <v>19.625</v>
      </c>
      <c r="E42" s="1"/>
      <c r="F42" s="19"/>
    </row>
    <row r="43" spans="1:14" x14ac:dyDescent="0.25">
      <c r="A43" s="20" t="s">
        <v>25</v>
      </c>
      <c r="B43" s="1"/>
      <c r="C43" s="19"/>
      <c r="D43" s="20">
        <v>25.9</v>
      </c>
      <c r="E43" s="1"/>
      <c r="F43" s="19"/>
    </row>
    <row r="44" spans="1:14" ht="15.75" thickBot="1" x14ac:dyDescent="0.3">
      <c r="A44" s="31"/>
      <c r="B44" s="31"/>
      <c r="C44" s="31"/>
      <c r="D44" s="31"/>
      <c r="E44" s="31"/>
      <c r="F44" s="31"/>
    </row>
    <row r="48" spans="1:14" x14ac:dyDescent="0.25">
      <c r="B48" s="2" t="s">
        <v>62</v>
      </c>
      <c r="C48" s="2"/>
      <c r="D48" s="2"/>
      <c r="E48" s="2"/>
    </row>
    <row r="49" spans="1:6" x14ac:dyDescent="0.25">
      <c r="B49" s="5"/>
      <c r="C49" s="5"/>
      <c r="D49" s="5"/>
      <c r="E49" s="5"/>
    </row>
    <row r="50" spans="1:6" x14ac:dyDescent="0.25">
      <c r="D50" t="s">
        <v>63</v>
      </c>
      <c r="E50" s="39">
        <v>30000</v>
      </c>
    </row>
    <row r="51" spans="1:6" x14ac:dyDescent="0.25">
      <c r="E51" s="39"/>
    </row>
    <row r="52" spans="1:6" x14ac:dyDescent="0.25">
      <c r="A52" s="8" t="s">
        <v>64</v>
      </c>
      <c r="B52" s="8"/>
      <c r="E52" s="39">
        <v>0</v>
      </c>
    </row>
    <row r="53" spans="1:6" x14ac:dyDescent="0.25">
      <c r="A53" s="8" t="s">
        <v>65</v>
      </c>
      <c r="B53" s="8"/>
      <c r="E53" s="39">
        <v>16000</v>
      </c>
    </row>
    <row r="54" spans="1:6" x14ac:dyDescent="0.25">
      <c r="A54" s="8" t="s">
        <v>66</v>
      </c>
      <c r="B54" s="8"/>
      <c r="E54" s="39">
        <v>89000</v>
      </c>
    </row>
    <row r="55" spans="1:6" x14ac:dyDescent="0.25">
      <c r="A55" s="8" t="s">
        <v>67</v>
      </c>
      <c r="B55" s="8"/>
      <c r="E55" s="39">
        <v>0</v>
      </c>
    </row>
    <row r="56" spans="1:6" x14ac:dyDescent="0.25">
      <c r="A56" s="8"/>
      <c r="B56" s="8"/>
      <c r="E56" s="39"/>
    </row>
    <row r="57" spans="1:6" x14ac:dyDescent="0.25">
      <c r="A57" s="8"/>
      <c r="B57" s="8"/>
      <c r="D57" s="39"/>
    </row>
    <row r="58" spans="1:6" x14ac:dyDescent="0.25">
      <c r="A58" s="8" t="s">
        <v>68</v>
      </c>
      <c r="B58" s="8"/>
      <c r="E58" s="39">
        <f>90*E50</f>
        <v>2700000</v>
      </c>
      <c r="F58" t="s">
        <v>74</v>
      </c>
    </row>
    <row r="59" spans="1:6" x14ac:dyDescent="0.25">
      <c r="A59" s="8" t="s">
        <v>69</v>
      </c>
      <c r="B59" s="8"/>
      <c r="E59" s="39">
        <f>(E52+E53+E54+E55)</f>
        <v>105000</v>
      </c>
      <c r="F59" t="s">
        <v>75</v>
      </c>
    </row>
    <row r="60" spans="1:6" x14ac:dyDescent="0.25">
      <c r="A60" s="8"/>
      <c r="B60" s="8"/>
      <c r="E60" s="39"/>
    </row>
    <row r="61" spans="1:6" x14ac:dyDescent="0.25">
      <c r="A61" s="45" t="s">
        <v>70</v>
      </c>
      <c r="B61" s="45"/>
      <c r="C61" s="42"/>
    </row>
    <row r="62" spans="1:6" x14ac:dyDescent="0.25">
      <c r="A62" s="45"/>
      <c r="B62" s="45"/>
      <c r="D62" s="42"/>
      <c r="E62" s="39">
        <f>E52+E55</f>
        <v>0</v>
      </c>
    </row>
    <row r="63" spans="1:6" x14ac:dyDescent="0.25">
      <c r="A63" s="46" t="s">
        <v>71</v>
      </c>
      <c r="B63" s="8"/>
      <c r="D63" s="42"/>
    </row>
    <row r="64" spans="1:6" x14ac:dyDescent="0.25">
      <c r="A64" s="46"/>
      <c r="B64" s="8"/>
      <c r="D64" s="42"/>
    </row>
    <row r="65" spans="1:6" x14ac:dyDescent="0.25">
      <c r="A65" s="8" t="s">
        <v>72</v>
      </c>
      <c r="B65" s="8"/>
      <c r="D65">
        <f>D43</f>
        <v>25.9</v>
      </c>
      <c r="E65" s="39">
        <f>E62/30*D65</f>
        <v>0</v>
      </c>
    </row>
    <row r="66" spans="1:6" x14ac:dyDescent="0.25">
      <c r="A66" s="8"/>
      <c r="B66" s="8"/>
    </row>
    <row r="67" spans="1:6" x14ac:dyDescent="0.25">
      <c r="A67" s="8" t="s">
        <v>73</v>
      </c>
      <c r="B67" s="8"/>
      <c r="D67">
        <v>1</v>
      </c>
      <c r="E67" s="39">
        <f>E59</f>
        <v>105000</v>
      </c>
    </row>
    <row r="68" spans="1:6" x14ac:dyDescent="0.25">
      <c r="A68" s="43" t="s">
        <v>83</v>
      </c>
      <c r="B68" s="44"/>
      <c r="C68" s="44"/>
      <c r="D68" s="44"/>
      <c r="E68" s="44"/>
      <c r="F68" s="44"/>
    </row>
    <row r="69" spans="1:6" x14ac:dyDescent="0.25">
      <c r="A69" s="47"/>
      <c r="B69" s="48"/>
      <c r="C69" s="48"/>
      <c r="D69" s="48"/>
      <c r="E69" s="48"/>
      <c r="F69" s="48"/>
    </row>
    <row r="70" spans="1:6" x14ac:dyDescent="0.25">
      <c r="A70" s="47"/>
      <c r="B70" s="48"/>
      <c r="C70" s="48"/>
      <c r="D70" s="48"/>
      <c r="E70" s="48"/>
      <c r="F70" s="48"/>
    </row>
    <row r="71" spans="1:6" x14ac:dyDescent="0.25">
      <c r="A71" s="8" t="s">
        <v>76</v>
      </c>
      <c r="D71">
        <v>0</v>
      </c>
      <c r="E71" s="39">
        <v>0</v>
      </c>
    </row>
    <row r="72" spans="1:6" x14ac:dyDescent="0.25">
      <c r="A72" s="8" t="s">
        <v>77</v>
      </c>
      <c r="D72">
        <v>0</v>
      </c>
      <c r="E72" s="39">
        <v>0</v>
      </c>
    </row>
    <row r="73" spans="1:6" x14ac:dyDescent="0.25">
      <c r="A73" s="8" t="s">
        <v>78</v>
      </c>
      <c r="E73" s="39">
        <v>0</v>
      </c>
    </row>
    <row r="74" spans="1:6" x14ac:dyDescent="0.25">
      <c r="A74" s="8"/>
      <c r="E74" s="39"/>
    </row>
    <row r="75" spans="1:6" x14ac:dyDescent="0.25">
      <c r="A75" s="8" t="s">
        <v>79</v>
      </c>
      <c r="E75" s="39">
        <f>+E71</f>
        <v>0</v>
      </c>
    </row>
    <row r="76" spans="1:6" x14ac:dyDescent="0.25">
      <c r="A76" s="8"/>
      <c r="E76" s="39"/>
    </row>
    <row r="77" spans="1:6" x14ac:dyDescent="0.25">
      <c r="A77" s="8"/>
      <c r="E77" s="39"/>
    </row>
    <row r="78" spans="1:6" x14ac:dyDescent="0.25">
      <c r="A78" s="8" t="s">
        <v>15</v>
      </c>
      <c r="E78" s="39">
        <f>E65</f>
        <v>0</v>
      </c>
    </row>
    <row r="79" spans="1:6" x14ac:dyDescent="0.25">
      <c r="A79" s="8" t="s">
        <v>80</v>
      </c>
      <c r="E79" s="39">
        <f>E67+E59</f>
        <v>210000</v>
      </c>
    </row>
    <row r="80" spans="1:6" x14ac:dyDescent="0.25">
      <c r="A80" s="8" t="s">
        <v>79</v>
      </c>
      <c r="E80" s="39">
        <f>E75</f>
        <v>0</v>
      </c>
    </row>
    <row r="81" spans="1:5" x14ac:dyDescent="0.25">
      <c r="A81" s="8" t="s">
        <v>81</v>
      </c>
      <c r="E81" s="39">
        <v>0</v>
      </c>
    </row>
    <row r="82" spans="1:5" ht="15.75" thickBot="1" x14ac:dyDescent="0.3">
      <c r="A82" s="8"/>
      <c r="E82" s="50"/>
    </row>
    <row r="83" spans="1:5" x14ac:dyDescent="0.25">
      <c r="A83" s="49" t="s">
        <v>82</v>
      </c>
      <c r="B83" s="1"/>
      <c r="E83" s="39">
        <f>E78+E79+E81-E80</f>
        <v>210000</v>
      </c>
    </row>
    <row r="84" spans="1:5" x14ac:dyDescent="0.25">
      <c r="D84" s="39"/>
    </row>
    <row r="85" spans="1:5" x14ac:dyDescent="0.25">
      <c r="D85" s="39"/>
    </row>
  </sheetData>
  <mergeCells count="32">
    <mergeCell ref="A61:B62"/>
    <mergeCell ref="A68:F68"/>
    <mergeCell ref="B48:E48"/>
    <mergeCell ref="A83:B83"/>
    <mergeCell ref="A43:B43"/>
    <mergeCell ref="D36:E36"/>
    <mergeCell ref="D37:E37"/>
    <mergeCell ref="D38:E38"/>
    <mergeCell ref="D39:E39"/>
    <mergeCell ref="D40:E40"/>
    <mergeCell ref="D41:E41"/>
    <mergeCell ref="D42:E42"/>
    <mergeCell ref="D43:E43"/>
    <mergeCell ref="D35:E35"/>
    <mergeCell ref="A38:B38"/>
    <mergeCell ref="A39:B39"/>
    <mergeCell ref="A40:B40"/>
    <mergeCell ref="A41:B41"/>
    <mergeCell ref="A42:B42"/>
    <mergeCell ref="A34:B34"/>
    <mergeCell ref="A35:B35"/>
    <mergeCell ref="A36:B36"/>
    <mergeCell ref="A37:B37"/>
    <mergeCell ref="D34:E34"/>
    <mergeCell ref="D18:F18"/>
    <mergeCell ref="D19:F19"/>
    <mergeCell ref="D20:F20"/>
    <mergeCell ref="D21:F21"/>
    <mergeCell ref="D22:F22"/>
    <mergeCell ref="A5:D5"/>
    <mergeCell ref="D15:F15"/>
    <mergeCell ref="D16:F17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</dc:creator>
  <cp:lastModifiedBy>Jaime</cp:lastModifiedBy>
  <cp:lastPrinted>2021-12-16T19:42:28Z</cp:lastPrinted>
  <dcterms:created xsi:type="dcterms:W3CDTF">2015-06-05T18:19:34Z</dcterms:created>
  <dcterms:modified xsi:type="dcterms:W3CDTF">2021-12-16T19:42:41Z</dcterms:modified>
</cp:coreProperties>
</file>